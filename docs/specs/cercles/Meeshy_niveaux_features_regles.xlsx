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Niveaux" sheetId="2" state="visible" r:id="rId4"/>
    <sheet name="Features" sheetId="3" state="visible" r:id="rId5"/>
    <sheet name="Règles" sheetId="4" state="visible" r:id="rId6"/>
    <sheet name="Synthèse" sheetId="5" state="visible" r:id="rId7"/>
    <sheet name="Tests talkie" sheetId="6" state="visible" r:id="rId8"/>
  </sheets>
  <definedNames>
    <definedName function="false" hidden="true" localSheetId="2" name="_xlnm._FilterDatabase" vbProcedure="false">Features!$A$1:$R$119</definedName>
    <definedName function="false" hidden="true" localSheetId="1" name="_xlnm._FilterDatabase" vbProcedure="false">Niveaux!$A$1:$L$8</definedName>
    <definedName function="false" hidden="true" localSheetId="3" name="_xlnm._FilterDatabase" vbProcedure="false">Règles!$A$1:$D$32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<sst xmlns="http://schemas.openxmlformats.org/spreadsheetml/2006/main" count="2529" uniqueCount="945">
  <si>
    <t xml:space="preserve">Meeshy — Niveaux de proximité, features et règles</t>
  </si>
  <si>
    <t xml:space="preserve">Version de travail · 31/10/2026 · document produit à discuter</t>
  </si>
  <si>
    <t xml:space="preserve">Onglet</t>
  </si>
  <si>
    <t xml:space="preserve">Contenu</t>
  </si>
  <si>
    <t xml:space="preserve">Niveaux</t>
  </si>
  <si>
    <t xml:space="preserve">Les 7 niveaux, de l'Univers (Public) à l'Atome : définition, entrée, validation, plafond, sortie, règles mineurs.</t>
  </si>
  <si>
    <t xml:space="preserve">Features</t>
  </si>
  <si>
    <t xml:space="preserve">Catalogue complet : description, comportement, règles, accès par niveau, défaut, notification, mineurs, priorité, statut.</t>
  </si>
  <si>
    <t xml:space="preserve">Règles</t>
  </si>
  <si>
    <t xml:space="preserve">Règles de gestion transverses (RG-xx) à appliquer partout.</t>
  </si>
  <si>
    <t xml:space="preserve">Synthèse</t>
  </si>
  <si>
    <t xml:space="preserve">Comptages automatiques (formules) par module, priorité et niveau.</t>
  </si>
  <si>
    <t xml:space="preserve">Tests talkie</t>
  </si>
  <si>
    <t xml:space="preserve">Plan de tests réels du talkie-walkie instantané entre Proches et Sangs (MVP).</t>
  </si>
  <si>
    <t xml:space="preserve">Légende accès</t>
  </si>
  <si>
    <t xml:space="preserve">Signification</t>
  </si>
  <si>
    <t xml:space="preserve">Oui</t>
  </si>
  <si>
    <t xml:space="preserve">Disponible à ce niveau (sous réserve des réglages de la personne).</t>
  </si>
  <si>
    <t xml:space="preserve">Option</t>
  </si>
  <si>
    <t xml:space="preserve">Disponible si la personne l'active.</t>
  </si>
  <si>
    <t xml:space="preserve">Sur demande</t>
  </si>
  <si>
    <t xml:space="preserve">Possible mais soumis à une demande / validation.</t>
  </si>
  <si>
    <t xml:space="preserve">Temporaire</t>
  </si>
  <si>
    <t xml:space="preserve">Uniquement en partage limité dans le temps.</t>
  </si>
  <si>
    <t xml:space="preserve">Non</t>
  </si>
  <si>
    <t xml:space="preserve">Pas disponible à ce niveau.</t>
  </si>
  <si>
    <t xml:space="preserve">Statut</t>
  </si>
  <si>
    <t xml:space="preserve">« Socle (à vérifier) » = feature probablement déjà dans Meeshy, à confirmer avec l'existant. « Nouveau » = à développer.</t>
  </si>
  <si>
    <t xml:space="preserve">Priorité</t>
  </si>
  <si>
    <t xml:space="preserve">MVP = fondations + Proche (talkie, Bring, catégorie d'écoute) + Sang (titre de l'écoute ; position et proximité derrière un flag de test) · V2 = Atome (contrôle parental) et enrichissements · V3 = avancé.</t>
  </si>
  <si>
    <t xml:space="preserve">À modifier</t>
  </si>
  <si>
    <t xml:space="preserve">Les colonnes d'accès (Features, colonnes K à Q) ont une liste déroulante ; la Synthèse se recalcule toute seule.</t>
  </si>
  <si>
    <t xml:space="preserve">Niveau</t>
  </si>
  <si>
    <t xml:space="preserve">Code</t>
  </si>
  <si>
    <t xml:space="preserve">Nom</t>
  </si>
  <si>
    <t xml:space="preserve">Icône</t>
  </si>
  <si>
    <t xml:space="preserve">Image atomique</t>
  </si>
  <si>
    <t xml:space="preserve">Définition</t>
  </si>
  <si>
    <t xml:space="preserve">Comment on y entre</t>
  </si>
  <si>
    <t xml:space="preserve">Validation</t>
  </si>
  <si>
    <t xml:space="preserve">Plafond</t>
  </si>
  <si>
    <t xml:space="preserve">Ancienneté minimale</t>
  </si>
  <si>
    <t xml:space="preserve">Sortie / baisse</t>
  </si>
  <si>
    <t xml:space="preserve">Règle mineurs</t>
  </si>
  <si>
    <t xml:space="preserve">PUBLIC</t>
  </si>
  <si>
    <t xml:space="preserve">Univers (Public)</t>
  </si>
  <si>
    <t xml:space="preserve">🌐</t>
  </si>
  <si>
    <t xml:space="preserve">Le vide / l'univers</t>
  </si>
  <si>
    <t xml:space="preserve">Toute personne sans aucun lien avec moi.</t>
  </si>
  <si>
    <t xml:space="preserve">Par défaut pour tout inconnu.</t>
  </si>
  <si>
    <t xml:space="preserve">Aucune</t>
  </si>
  <si>
    <t xml:space="preserve">Illimité</t>
  </si>
  <si>
    <t xml:space="preserve">—</t>
  </si>
  <si>
    <t xml:space="preserve">Profil d'un mineur masqué au Public par défaut ; messages du Public bloqués pour les mineurs.</t>
  </si>
  <si>
    <t xml:space="preserve">COMMUNITY</t>
  </si>
  <si>
    <t xml:space="preserve">Communauté</t>
  </si>
  <si>
    <t xml:space="preserve">👥</t>
  </si>
  <si>
    <t xml:space="preserve">Le champ (nuage électronique)</t>
  </si>
  <si>
    <t xml:space="preserve">Membres d'au moins une communauté / un groupe en commun, sans lien direct.</t>
  </si>
  <si>
    <t xml:space="preserve">Automatique dès qu'on partage une communauté.</t>
  </si>
  <si>
    <t xml:space="preserve">Aucune (calculé)</t>
  </si>
  <si>
    <t xml:space="preserve">Quitter la communauté ou bloquer.</t>
  </si>
  <si>
    <t xml:space="preserve">Messages privés soumis à la boîte de demandes.</t>
  </si>
  <si>
    <t xml:space="preserve">ACQUAINTANCE</t>
  </si>
  <si>
    <t xml:space="preserve">Connaissance</t>
  </si>
  <si>
    <t xml:space="preserve">👋</t>
  </si>
  <si>
    <t xml:space="preserve">Électrons libres</t>
  </si>
  <si>
    <t xml:space="preserve">Le lien de BASE entre deux personnes. Messages privés directs.</t>
  </si>
  <si>
    <t xml:space="preserve">Automatique quand, dans chaque sens, ~10 interactions (messages, likes, vues de posts) dont au moins 1 de chaque type sur le contenu de l'autre ET 1 message audio envoyé ; ou demande de connexion acceptée.</t>
  </si>
  <si>
    <t xml:space="preserve">Aucune si automatique ; acceptation si sur demande</t>
  </si>
  <si>
    <t xml:space="preserve">Conditions d'interaction ci-contre</t>
  </si>
  <si>
    <t xml:space="preserve">Rétrogradation silencieuse.</t>
  </si>
  <si>
    <t xml:space="preserve">Création automatique désactivée entre un mineur et un majeur inconnu.</t>
  </si>
  <si>
    <t xml:space="preserve">FRIEND</t>
  </si>
  <si>
    <t xml:space="preserve">Ami</t>
  </si>
  <si>
    <t xml:space="preserve">🤝</t>
  </si>
  <si>
    <t xml:space="preserve">En orbite</t>
  </si>
  <si>
    <t xml:space="preserve">Le concept d'amis actuel. Voient : présence « en ligne » ou rien, niveau, nomination (titres) et rang. Ne voient plus mes commentaires ailleurs ni qui commente mes publications.</t>
  </si>
  <si>
    <t xml:space="preserve">Demande de connexion acceptée, uniquement depuis Connaissance.</t>
  </si>
  <si>
    <t xml:space="preserve">Acceptation par l'autre</t>
  </si>
  <si>
    <t xml:space="preserve">Être Connaissance</t>
  </si>
  <si>
    <t xml:space="preserve">Retirer des amis sans notification.</t>
  </si>
  <si>
    <t xml:space="preserve">Comportement actuel.</t>
  </si>
  <si>
    <t xml:space="preserve">CLOSE</t>
  </si>
  <si>
    <t xml:space="preserve">Proche</t>
  </si>
  <si>
    <t xml:space="preserve">🔥</t>
  </si>
  <si>
    <t xml:space="preserve">Noyau dur</t>
  </si>
  <si>
    <t xml:space="preserve">Voient en plus : présence détaillée (en ligne, absent, inactif, vu il y a…), étincelles et gloire, qui commente mes posts, la catégorie de ce que j'écoute ou regarde (sans détail) ; reçoivent les notifications de mes posts ; talkie instantané ; Bring si je l'autorise.</t>
  </si>
  <si>
    <t xml:space="preserve">Demande acceptée, depuis Ami seulement.</t>
  </si>
  <si>
    <t xml:space="preserve">Acceptation explicite</t>
  </si>
  <si>
    <t xml:space="preserve">1 mois d'interactions continues (4 semaines actives d'affilée)</t>
  </si>
  <si>
    <t xml:space="preserve">Rétrogradation silencieuse ; cool-down 30 j avant nouvelle demande.</t>
  </si>
  <si>
    <t xml:space="preserve">Autorisé, position uniquement temporaire.</t>
  </si>
  <si>
    <t xml:space="preserve">BLOOD</t>
  </si>
  <si>
    <t xml:space="preserve">Sang</t>
  </si>
  <si>
    <t xml:space="preserve">🩸</t>
  </si>
  <si>
    <t xml:space="preserve">Liaison fusionnelle</t>
  </si>
  <si>
    <t xml:space="preserve">Le mode fusionnel : position en temps réel + historique de trajets 30 j (visible seulement entre Sangs et par l'Atome), alerte de proximité, ce que X écoute/regarde avec le titre et l'origine, voient mes commentaires ailleurs.</t>
  </si>
  <si>
    <t xml:space="preserve">Demande + rituel de passage synchronisé, depuis Proche seulement.</t>
  </si>
  <si>
    <t xml:space="preserve">Double confirmation + écran de consentement feature par feature</t>
  </si>
  <si>
    <t xml:space="preserve">1 an d'interactions continues (52 semaines actives d'affilée)</t>
  </si>
  <si>
    <t xml:space="preserve">Rétrogradation silencieuse ; rappel de consentement tous les 90 j.</t>
  </si>
  <si>
    <t xml:space="preserve">Entre mineurs d'âge proche ou famille vérifiée uniquement ; position live limitée hors famille.</t>
  </si>
  <si>
    <t xml:space="preserve">ATOM</t>
  </si>
  <si>
    <t xml:space="preserve">Atome</t>
  </si>
  <si>
    <t xml:space="preserve">⚛️</t>
  </si>
  <si>
    <t xml:space="preserve">Le noyau qui gère ses électrons</t>
  </si>
  <si>
    <t xml:space="preserve">Lien de contrôle parental (ou de tutelle) asymétrique : l'Atome (parent/tuteur) gère ses électrons (enfants ou personnes accompagnées). Pas une étape après le Sang : un rôle à part.</t>
  </si>
  <si>
    <t xml:space="preserve">L'Atome invite l'électron (ou crée le compte enfant) ; lien parent/tuteur vérifié.</t>
  </si>
  <si>
    <t xml:space="preserve">Électron mineur : vérification du lien parental. Électron majeur : consentement explicite, révocable à tout moment.</t>
  </si>
  <si>
    <t xml:space="preserve">7 électrons max par Atome (hypothèse : 2 Atomes max par électron)</t>
  </si>
  <si>
    <t xml:space="preserve">Électron majeur : sortie en un geste. Électron mineur : à 18 ans, le lien prend fin ou devient Sang si l'électron le choisit.</t>
  </si>
  <si>
    <t xml:space="preserve">Usage principal : parents d'enfants mineurs. L'Atome voit l'historique de trajets 30 j de ses électrons ; l'électron voit toujours ce que l'Atome voit (indicateur permanent).</t>
  </si>
  <si>
    <t xml:space="preserve">ID</t>
  </si>
  <si>
    <t xml:space="preserve">Module</t>
  </si>
  <si>
    <t xml:space="preserve">Feature</t>
  </si>
  <si>
    <t xml:space="preserve">Description</t>
  </si>
  <si>
    <t xml:space="preserve">Comportement attendu</t>
  </si>
  <si>
    <t xml:space="preserve">Règles de gestion / garde-fous</t>
  </si>
  <si>
    <t xml:space="preserve">Défaut</t>
  </si>
  <si>
    <t xml:space="preserve">Notifie l'autre ?</t>
  </si>
  <si>
    <t xml:space="preserve">0 · Univers 🌐</t>
  </si>
  <si>
    <t xml:space="preserve">1 · Communauté 👥</t>
  </si>
  <si>
    <t xml:space="preserve">2 · Connaissance 👋</t>
  </si>
  <si>
    <t xml:space="preserve">3 · Ami 🤝</t>
  </si>
  <si>
    <t xml:space="preserve">4 · Proche 🔥</t>
  </si>
  <si>
    <t xml:space="preserve">5 · Sang 🩸</t>
  </si>
  <si>
    <t xml:space="preserve">6 · Atome ⚛️</t>
  </si>
  <si>
    <t xml:space="preserve">PRO-01</t>
  </si>
  <si>
    <t xml:space="preserve">Profil</t>
  </si>
  <si>
    <t xml:space="preserve">Profil public</t>
  </si>
  <si>
    <t xml:space="preserve">Photo, pseudo, bio, langue(s) parlée(s).</t>
  </si>
  <si>
    <t xml:space="preserve">Affiché selon l'audience choisie.</t>
  </si>
  <si>
    <t xml:space="preserve">Le profil n'expose jamais position, activité ni interactions au Public.</t>
  </si>
  <si>
    <t xml:space="preserve">ON</t>
  </si>
  <si>
    <t xml:space="preserve">Masqué au Public par défaut</t>
  </si>
  <si>
    <t xml:space="preserve">MVP</t>
  </si>
  <si>
    <t xml:space="preserve">Socle (à vérifier)</t>
  </si>
  <si>
    <t xml:space="preserve">PRO-02</t>
  </si>
  <si>
    <t xml:space="preserve">Profil par cercle</t>
  </si>
  <si>
    <t xml:space="preserve">Photo/bio différentes selon le niveau du visiteur.</t>
  </si>
  <si>
    <t xml:space="preserve">Le visiteur voit la version de notre niveau effectif.</t>
  </si>
  <si>
    <t xml:space="preserve">3 variantes max ; repli sur la version publique.</t>
  </si>
  <si>
    <t xml:space="preserve">OFF</t>
  </si>
  <si>
    <t xml:space="preserve">V2</t>
  </si>
  <si>
    <t xml:space="preserve">Nouveau</t>
  </si>
  <si>
    <t xml:space="preserve">PRO-03</t>
  </si>
  <si>
    <t xml:space="preserve">Statut / humeur</t>
  </si>
  <si>
    <t xml:space="preserve">Emoji + texte court.</t>
  </si>
  <si>
    <t xml:space="preserve">Expire après 24 h.</t>
  </si>
  <si>
    <t xml:space="preserve">Audience réglable par niveau minimum.</t>
  </si>
  <si>
    <t xml:space="preserve">PRO-04</t>
  </si>
  <si>
    <t xml:space="preserve">Badge de niveau</t>
  </si>
  <si>
    <t xml:space="preserve">Icône du niveau commun affichée sur le profil et dans le chat.</t>
  </si>
  <si>
    <t xml:space="preserve">Visible uniquement par les deux personnes concernées.</t>
  </si>
  <si>
    <t xml:space="preserve">Toujours le niveau effectif (minimum des deux).</t>
  </si>
  <si>
    <t xml:space="preserve">PRO-05</t>
  </si>
  <si>
    <t xml:space="preserve">Surnom privé</t>
  </si>
  <si>
    <t xml:space="preserve">Donner un surnom à un contact.</t>
  </si>
  <si>
    <t xml:space="preserve">À partir de Sang, le surnom peut être partagé avec l'autre.</t>
  </si>
  <si>
    <t xml:space="preserve">Partage du surnom = accord de l'autre.</t>
  </si>
  <si>
    <t xml:space="preserve">Si partagé</t>
  </si>
  <si>
    <t xml:space="preserve">PRO-06</t>
  </si>
  <si>
    <t xml:space="preserve">Masquer mes cercles</t>
  </si>
  <si>
    <t xml:space="preserve">Personne ne sait qui est dans mes Proches/Sang/Atome.</t>
  </si>
  <si>
    <t xml:space="preserve">Les listes de cercles sont privées par défaut.</t>
  </si>
  <si>
    <t xml:space="preserve">Seul le lien commun est visible des deux personnes.</t>
  </si>
  <si>
    <t xml:space="preserve">REL-01</t>
  </si>
  <si>
    <t xml:space="preserve">Relations</t>
  </si>
  <si>
    <t xml:space="preserve">Niveau effectif = minimum des deux</t>
  </si>
  <si>
    <t xml:space="preserve">Chacun choisit le niveau qu'il accorde à l'autre.</t>
  </si>
  <si>
    <t xml:space="preserve">Les droits appliqués sont ceux du niveau le plus bas.</t>
  </si>
  <si>
    <t xml:space="preserve">Aucune surveillance à sens unique possible.</t>
  </si>
  <si>
    <t xml:space="preserve">REL-02</t>
  </si>
  <si>
    <t xml:space="preserve">Connaissance automatique</t>
  </si>
  <si>
    <t xml:space="preserve">Le lien de base se crée tout seul quand les conditions sont réunies.</t>
  </si>
  <si>
    <t xml:space="preserve">Dans chaque sens : ~10 interactions (messages, likes/réactions, vues de posts), dont au moins 1 de chaque type sur le contenu de l'autre, ET au moins 1 message audio envoyé à l'autre. Le lien apparaît chez les deux.</t>
  </si>
  <si>
    <t xml:space="preserve">Seuils réglables en config ; recalcul idempotent côté serveur ; un blocage annule.</t>
  </si>
  <si>
    <t xml:space="preserve">Oui (discret)</t>
  </si>
  <si>
    <t xml:space="preserve">Désactivé entre mineur et majeur inconnu</t>
  </si>
  <si>
    <t xml:space="preserve">REL-03</t>
  </si>
  <si>
    <t xml:space="preserve">Connaissance sur demande</t>
  </si>
  <si>
    <t xml:space="preserve">Créer le lien Connaissance sans attendre les conditions.</t>
  </si>
  <si>
    <t xml:space="preserve">Demande de connexion acceptée par l'autre depuis Public ou Communauté.</t>
  </si>
  <si>
    <t xml:space="preserve">Refus silencieux ; cool-down 30 j.</t>
  </si>
  <si>
    <t xml:space="preserve">Oui (demande)</t>
  </si>
  <si>
    <t xml:space="preserve">Demandes de majeurs inconnus filtrées</t>
  </si>
  <si>
    <t xml:space="preserve">REL-04</t>
  </si>
  <si>
    <t xml:space="preserve">Demande de connexion vers Ami</t>
  </si>
  <si>
    <t xml:space="preserve">Le flux d'amitié actuel (FriendRequest, « demande de connexion »).</t>
  </si>
  <si>
    <t xml:space="preserve">Possible uniquement depuis Connaissance : aucune phase ne se saute.</t>
  </si>
  <si>
    <t xml:space="preserve">Compat : une demande d'un ancien client hors Connaissance reste acceptée (exception mesurée, retirée à zéro usage) ; refus non renvoyable avant 30 j.</t>
  </si>
  <si>
    <t xml:space="preserve">REL-05</t>
  </si>
  <si>
    <t xml:space="preserve">Demande Proche</t>
  </si>
  <si>
    <t xml:space="preserve">Demander à un Ami de devenir Proche.</t>
  </si>
  <si>
    <t xml:space="preserve">Possible depuis Ami seulement, une fois éligible (1 mois d'interactions continues) ; l'autre accepte, ignore ou refuse sans que le refus soit notifié.</t>
  </si>
  <si>
    <t xml:space="preserve">Pas de plafond ; pas de saut de phase.</t>
  </si>
  <si>
    <t xml:space="preserve">Autorisé</t>
  </si>
  <si>
    <t xml:space="preserve">REL-06</t>
  </si>
  <si>
    <t xml:space="preserve">Aucun saut de phase</t>
  </si>
  <si>
    <t xml:space="preserve">Public → Connaissance → Ami → Proche → Sang, cran par cran.</t>
  </si>
  <si>
    <t xml:space="preserve">Chaque demande n'est proposée que depuis le niveau juste en dessous et quand ses conditions sont remplies.</t>
  </si>
  <si>
    <t xml:space="preserve">Refus côté serveur de toute demande qui saute une phase.</t>
  </si>
  <si>
    <t xml:space="preserve">REL-07</t>
  </si>
  <si>
    <t xml:space="preserve">Rituel de passage Sang</t>
  </si>
  <si>
    <t xml:space="preserve">Animation synchronisée vécue à deux.</t>
  </si>
  <si>
    <t xml:space="preserve">Les deux maintiennent l'écran en même temps ; écran de consentement détaillé.</t>
  </si>
  <si>
    <t xml:space="preserve">Éligible après 1 an d'interactions continues ; pas de plafond ; seuil réglable en config (réduit sur staging pour les tests).</t>
  </si>
  <si>
    <t xml:space="preserve">Entre mineurs d'âge proche / famille</t>
  </si>
  <si>
    <t xml:space="preserve">REL-08</t>
  </si>
  <si>
    <t xml:space="preserve">Création du lien Atome → électron</t>
  </si>
  <si>
    <t xml:space="preserve">Un parent/tuteur rattache un électron.</t>
  </si>
  <si>
    <t xml:space="preserve">Invitation acceptée par l'électron, ou compte enfant créé par l'Atome.</t>
  </si>
  <si>
    <t xml:space="preserve">Lien parental vérifié pour un mineur ; consentement explicite pour un majeur ; 7 électrons max.</t>
  </si>
  <si>
    <t xml:space="preserve">Lien parental vérifié obligatoire</t>
  </si>
  <si>
    <t xml:space="preserve">REL-09</t>
  </si>
  <si>
    <t xml:space="preserve">Rétrogradation silencieuse</t>
  </si>
  <si>
    <t xml:space="preserve">Baisser le niveau d'une personne.</t>
  </si>
  <si>
    <t xml:space="preserve">L'autre n'est pas notifié ; les droits se réduisent immédiatement.</t>
  </si>
  <si>
    <t xml:space="preserve">Cool-down 30 j avant une nouvelle demande de montée par l'autre.</t>
  </si>
  <si>
    <t xml:space="preserve">REL-10</t>
  </si>
  <si>
    <t xml:space="preserve">Blocage / suppression</t>
  </si>
  <si>
    <t xml:space="preserve">Couper tout lien.</t>
  </si>
  <si>
    <t xml:space="preserve">Retour au niveau Public, ou invisibilité totale si blocage.</t>
  </si>
  <si>
    <t xml:space="preserve">Le blocage efface les partages actifs instantanément.</t>
  </si>
  <si>
    <t xml:space="preserve">REL-11</t>
  </si>
  <si>
    <t xml:space="preserve">Rappel de consentement</t>
  </si>
  <si>
    <t xml:space="preserve">« X voit ta position depuis 90 j, toujours OK ? »</t>
  </si>
  <si>
    <t xml:space="preserve">Une réponse en un tap : garder / réduire / arrêter.</t>
  </si>
  <si>
    <t xml:space="preserve">Sang : 90 j ; électron majeur d'un Atome : 60 j ; Proche (si position) : 30 j.</t>
  </si>
  <si>
    <t xml:space="preserve">Fréquence doublée</t>
  </si>
  <si>
    <t xml:space="preserve">REL-12</t>
  </si>
  <si>
    <t xml:space="preserve">Plafonds par niveau</t>
  </si>
  <si>
    <t xml:space="preserve">Limite le nombre de personnes par cercle.</t>
  </si>
  <si>
    <t xml:space="preserve">Message clair au moment d'ajouter au-delà du plafond.</t>
  </si>
  <si>
    <t xml:space="preserve">Pas de plafond pour Proche et Sang · un Atome gère 7 électrons max · 2 Atomes max par électron.</t>
  </si>
  <si>
    <t xml:space="preserve">REL-13</t>
  </si>
  <si>
    <t xml:space="preserve">Historique du lien</t>
  </si>
  <si>
    <t xml:space="preserve">Dates de passage à chaque niveau.</t>
  </si>
  <si>
    <t xml:space="preserve">Visible par les deux dans la fiche du lien.</t>
  </si>
  <si>
    <t xml:space="preserve">Les rétrogradations n'apparaissent pas.</t>
  </si>
  <si>
    <t xml:space="preserve">REL-14</t>
  </si>
  <si>
    <t xml:space="preserve">Suggestion de montée</t>
  </si>
  <si>
    <t xml:space="preserve">Proposer de monter de niveau selon la fréquence d'échange.</t>
  </si>
  <si>
    <t xml:space="preserve">Suggestion privée à une seule personne, jamais automatique.</t>
  </si>
  <si>
    <t xml:space="preserve">Jamais vers Sang sans action manuelle ; jamais de suggestion Atome.</t>
  </si>
  <si>
    <t xml:space="preserve">Désactivé vers Sang</t>
  </si>
  <si>
    <t xml:space="preserve">REL-15</t>
  </si>
  <si>
    <t xml:space="preserve">Écran « Mon univers »</t>
  </si>
  <si>
    <t xml:space="preserve">Vue orbitale : moi au centre, cercles en orbite.</t>
  </si>
  <si>
    <t xml:space="preserve">Plus le lien est fort, plus l'orbite est proche ; les électrons gravitent autour de leur Atome.</t>
  </si>
  <si>
    <t xml:space="preserve">Vue privée, jamais partagée telle quelle.</t>
  </si>
  <si>
    <t xml:space="preserve">MSG-01</t>
  </si>
  <si>
    <t xml:space="preserve">Messagerie</t>
  </si>
  <si>
    <t xml:space="preserve">Message privé</t>
  </si>
  <si>
    <t xml:space="preserve">Conversation 1:1.</t>
  </si>
  <si>
    <t xml:space="preserve">Public/Communauté → boîte de demandes ; Connaissance+ → direct.</t>
  </si>
  <si>
    <t xml:space="preserve">Un message de demande n'affiche pas de confirmation de lecture.</t>
  </si>
  <si>
    <t xml:space="preserve">Public bloqué</t>
  </si>
  <si>
    <t xml:space="preserve">MSG-02</t>
  </si>
  <si>
    <t xml:space="preserve">Boîte de demandes</t>
  </si>
  <si>
    <t xml:space="preserve">Messages hors cercle triés à part.</t>
  </si>
  <si>
    <t xml:space="preserve">Filtrage anti-spam / anti-harcèlement, médias floutés.</t>
  </si>
  <si>
    <t xml:space="preserve">Accepter = passer au minimum en Connaissance.</t>
  </si>
  <si>
    <t xml:space="preserve">Médias bloqués</t>
  </si>
  <si>
    <t xml:space="preserve">MSG-03</t>
  </si>
  <si>
    <t xml:space="preserve">Groupes / conversations de groupe</t>
  </si>
  <si>
    <t xml:space="preserve">Discussions à plusieurs.</t>
  </si>
  <si>
    <t xml:space="preserve">Les droits de chaque membre restent ceux de ses liens 1:1.</t>
  </si>
  <si>
    <t xml:space="preserve">Un groupe ne débloque aucun droit Sang/Atome.</t>
  </si>
  <si>
    <t xml:space="preserve">MSG-04</t>
  </si>
  <si>
    <t xml:space="preserve">Accusés de lecture</t>
  </si>
  <si>
    <t xml:space="preserve">Vu / lu.</t>
  </si>
  <si>
    <t xml:space="preserve">Réglable ; activé par défaut au niveau Atome (désactivable).</t>
  </si>
  <si>
    <t xml:space="preserve">Réciproque : si je les coupe, je ne vois pas ceux de l'autre.</t>
  </si>
  <si>
    <t xml:space="preserve">Selon niveau</t>
  </si>
  <si>
    <t xml:space="preserve">MSG-05</t>
  </si>
  <si>
    <t xml:space="preserve">Indicateur « en train d'écrire »</t>
  </si>
  <si>
    <t xml:space="preserve">Affichage en direct.</t>
  </si>
  <si>
    <t xml:space="preserve">Masqué pour Public/Communauté.</t>
  </si>
  <si>
    <t xml:space="preserve">Réciprocité.</t>
  </si>
  <si>
    <t xml:space="preserve">MSG-06</t>
  </si>
  <si>
    <t xml:space="preserve">Messages vocaux</t>
  </si>
  <si>
    <t xml:space="preserve">Notes vocales.</t>
  </si>
  <si>
    <t xml:space="preserve">Lecture avec transcription/traduction.</t>
  </si>
  <si>
    <t xml:space="preserve">MSG-07</t>
  </si>
  <si>
    <t xml:space="preserve">Messages éphémères</t>
  </si>
  <si>
    <t xml:space="preserve">Disparaissent après lecture ou délai.</t>
  </si>
  <si>
    <t xml:space="preserve">Choix par conversation.</t>
  </si>
  <si>
    <t xml:space="preserve">Capture d'écran signalée à l'autre.</t>
  </si>
  <si>
    <t xml:space="preserve">Oui (capture)</t>
  </si>
  <si>
    <t xml:space="preserve">MSG-08</t>
  </si>
  <si>
    <t xml:space="preserve">Message épinglé du lien</t>
  </si>
  <si>
    <t xml:space="preserve">Un message ou souvenir épinglé en haut de la conversation.</t>
  </si>
  <si>
    <t xml:space="preserve">Modifiable par les deux.</t>
  </si>
  <si>
    <t xml:space="preserve">MSG-09</t>
  </si>
  <si>
    <t xml:space="preserve">Passe-Ne pas déranger</t>
  </si>
  <si>
    <t xml:space="preserve">Les messages passent même en mode silencieux.</t>
  </si>
  <si>
    <t xml:space="preserve">Option au niveau Sang ; actif par défaut de l'Atome vers ses électrons.</t>
  </si>
  <si>
    <t xml:space="preserve">Limité à 3 passages/jour entre Sangs pour éviter les abus.</t>
  </si>
  <si>
    <t xml:space="preserve">MSG-10</t>
  </si>
  <si>
    <t xml:space="preserve">Conversation coffre</t>
  </si>
  <si>
    <t xml:space="preserve">Conversation verrouillée par biométrie.</t>
  </si>
  <si>
    <t xml:space="preserve">Cachée de la liste principale.</t>
  </si>
  <si>
    <t xml:space="preserve">V3</t>
  </si>
  <si>
    <t xml:space="preserve">MSG-11</t>
  </si>
  <si>
    <t xml:space="preserve">Message programmé</t>
  </si>
  <si>
    <t xml:space="preserve">Envoi à une date/heure (anniversaire, réveil).</t>
  </si>
  <si>
    <t xml:space="preserve">MSG-12</t>
  </si>
  <si>
    <t xml:space="preserve">Réactions</t>
  </si>
  <si>
    <t xml:space="preserve">Emoji sur messages.</t>
  </si>
  <si>
    <t xml:space="preserve">TRA-01</t>
  </si>
  <si>
    <t xml:space="preserve">Traduction</t>
  </si>
  <si>
    <t xml:space="preserve">Traduction automatique des messages</t>
  </si>
  <si>
    <t xml:space="preserve">Chaque personne lit dans sa langue.</t>
  </si>
  <si>
    <t xml:space="preserve">Original consultable en un tap.</t>
  </si>
  <si>
    <t xml:space="preserve">S'applique à tous les niveaux où le message est autorisé.</t>
  </si>
  <si>
    <t xml:space="preserve">TRA-02</t>
  </si>
  <si>
    <t xml:space="preserve">Traduction des posts, stories et commentaires</t>
  </si>
  <si>
    <t xml:space="preserve">Contenu social traduit.</t>
  </si>
  <si>
    <t xml:space="preserve">TRA-03</t>
  </si>
  <si>
    <t xml:space="preserve">Libellés de niveaux localisés</t>
  </si>
  <si>
    <t xml:space="preserve">Noms des niveaux adaptés à chaque langue/argot.</t>
  </si>
  <si>
    <t xml:space="preserve">Chargés depuis la config, jamais codés en dur.</t>
  </si>
  <si>
    <t xml:space="preserve">L'utilisateur peut renommer ses niveaux Sang et Atome pour lui-même.</t>
  </si>
  <si>
    <t xml:space="preserve">CAL-01</t>
  </si>
  <si>
    <t xml:space="preserve">Appels</t>
  </si>
  <si>
    <t xml:space="preserve">Appel audio</t>
  </si>
  <si>
    <t xml:space="preserve">Appel 1:1.</t>
  </si>
  <si>
    <t xml:space="preserve">Connaissance : sur demande ; Ami+ : direct.</t>
  </si>
  <si>
    <t xml:space="preserve">Pas d'appel d'un majeur non-Ami</t>
  </si>
  <si>
    <t xml:space="preserve">CAL-02</t>
  </si>
  <si>
    <t xml:space="preserve">Appel vidéo</t>
  </si>
  <si>
    <t xml:space="preserve">Visio 1:1.</t>
  </si>
  <si>
    <t xml:space="preserve">Idem audio.</t>
  </si>
  <si>
    <t xml:space="preserve">Idem</t>
  </si>
  <si>
    <t xml:space="preserve">CAL-03</t>
  </si>
  <si>
    <t xml:space="preserve">Talkie-walkie instantané</t>
  </si>
  <si>
    <t xml:space="preserve">Un Proche ou un Sang appuie et parle : l'audio sort directement sur le haut-parleur de l'autre, sans décrocher.</t>
  </si>
  <si>
    <t xml:space="preserve">Disponible dès le niveau Proche. Fonctionne AVEC ou SANS le framework PushToTalk d'iOS : appli ouverte = lecture directe ; arrière-plan = PushToTalk si disponible, sinon repli (son de notification portant la voix, puis message vocal) ; Android : service au premier plan.</t>
  </si>
  <si>
    <t xml:space="preserve">Réception directe désactivable par personne ; écouteurs/Bluetooth prioritaires ; coupé en appel, Ne pas déranger, heures calmes ; indicateur visible ; blocage = coupure immédiate ; refus serveur en dessous de Proche.</t>
  </si>
  <si>
    <t xml:space="preserve">ON à l'entrée en Proche (désactivable)</t>
  </si>
  <si>
    <t xml:space="preserve">Oui (audio direct)</t>
  </si>
  <si>
    <t xml:space="preserve">Entre mineurs d'âge proche / famille ; l'Atome peut l'activer vers ses électrons</t>
  </si>
  <si>
    <t xml:space="preserve">CAL-04</t>
  </si>
  <si>
    <t xml:space="preserve">Bring (réveil sonore)</t>
  </si>
  <si>
    <t xml:space="preserve">Faire sonner le téléphone de l'autre pour le réveiller ou l'appeler à l'attention.</t>
  </si>
  <si>
    <t xml:space="preserve">Joue un son (quelques secondes, jusqu'à arrêt) en arrière-plan ou au premier plan : ce n'est PAS une notification. iOS : son de notification critique-temps (alerte critique seulement avec l'autorisation Apple) ; Android : flux alarme via service au premier plan ; web : onglet ouvert.</t>
  </si>
  <si>
    <t xml:space="preserve">Uniquement si l'autre l'a autorisé pour cette personne ; 3 Bring max par heure et par expéditeur ; arrêt d'un geste ; heures calmes respectées sauf autorisation explicite.</t>
  </si>
  <si>
    <t xml:space="preserve">OFF (autorisation par personne)</t>
  </si>
  <si>
    <t xml:space="preserve">Oui (son)</t>
  </si>
  <si>
    <t xml:space="preserve">Atome → électron autorisé ; sinon entre mineurs d'âge proche</t>
  </si>
  <si>
    <t xml:space="preserve">POS-01</t>
  </si>
  <si>
    <t xml:space="preserve">Posts &amp; Stories</t>
  </si>
  <si>
    <t xml:space="preserve">Sélecteur d'audience</t>
  </si>
  <si>
    <t xml:space="preserve">Univers → Communauté → Connaissances → Amis → Proches → Sang → Atome.</t>
  </si>
  <si>
    <t xml:space="preserve">Chaque cran vers l'intérieur réduit l'audience.</t>
  </si>
  <si>
    <t xml:space="preserve">Audience par défaut = dernier choix.</t>
  </si>
  <si>
    <t xml:space="preserve">Univers désactivé par défaut</t>
  </si>
  <si>
    <t xml:space="preserve">POS-02</t>
  </si>
  <si>
    <t xml:space="preserve">Posts du fil</t>
  </si>
  <si>
    <t xml:space="preserve">Publications permanentes.</t>
  </si>
  <si>
    <t xml:space="preserve">Visibles selon l'audience du post.</t>
  </si>
  <si>
    <t xml:space="preserve">POS-03</t>
  </si>
  <si>
    <t xml:space="preserve">Stories</t>
  </si>
  <si>
    <t xml:space="preserve">Contenu 24 h.</t>
  </si>
  <si>
    <t xml:space="preserve">Visibles selon l'audience.</t>
  </si>
  <si>
    <t xml:space="preserve">POS-04</t>
  </si>
  <si>
    <t xml:space="preserve">Stories Proches</t>
  </si>
  <si>
    <t xml:space="preserve">Story réservée aux Proches et au-dessus.</t>
  </si>
  <si>
    <t xml:space="preserve">Liseré 🔥.</t>
  </si>
  <si>
    <t xml:space="preserve">POS-05</t>
  </si>
  <si>
    <t xml:space="preserve">Stories Sang</t>
  </si>
  <si>
    <t xml:space="preserve">Story réservée au Sang et à l'Atome.</t>
  </si>
  <si>
    <t xml:space="preserve">Liseré 🩸.</t>
  </si>
  <si>
    <t xml:space="preserve">POS-06</t>
  </si>
  <si>
    <t xml:space="preserve">Story « Rien que pour toi »</t>
  </si>
  <si>
    <t xml:space="preserve">Story visible par une seule personne (Sang).</t>
  </si>
  <si>
    <t xml:space="preserve">Liseré ✨.</t>
  </si>
  <si>
    <t xml:space="preserve">POS-07</t>
  </si>
  <si>
    <t xml:space="preserve">Vues de story</t>
  </si>
  <si>
    <t xml:space="preserve">Qui a vu ma story.</t>
  </si>
  <si>
    <t xml:space="preserve">Les vues du Public sont agrégées (nombre uniquement).</t>
  </si>
  <si>
    <t xml:space="preserve">POS-08</t>
  </si>
  <si>
    <t xml:space="preserve">Règle de repartage</t>
  </si>
  <si>
    <t xml:space="preserve">Repartager un contenu.</t>
  </si>
  <si>
    <t xml:space="preserve">Le repartage n'est possible que vers une audience ≤ à l'audience d'origine.</t>
  </si>
  <si>
    <t xml:space="preserve">Un contenu Sang/Atome n'est jamais repartageable.</t>
  </si>
  <si>
    <t xml:space="preserve">INT-01</t>
  </si>
  <si>
    <t xml:space="preserve">Interactions</t>
  </si>
  <si>
    <t xml:space="preserve">Commenter / liker</t>
  </si>
  <si>
    <t xml:space="preserve">Interagir avec un post.</t>
  </si>
  <si>
    <t xml:space="preserve">Selon l'audience du post.</t>
  </si>
  <si>
    <t xml:space="preserve">Commentaires du Public filtrés</t>
  </si>
  <si>
    <t xml:space="preserve">INT-02</t>
  </si>
  <si>
    <t xml:space="preserve">Mentions</t>
  </si>
  <si>
    <t xml:space="preserve">@mentionner quelqu'un.</t>
  </si>
  <si>
    <t xml:space="preserve">Une mention par un non-Ami passe par une validation.</t>
  </si>
  <si>
    <t xml:space="preserve">Validation obligatoire</t>
  </si>
  <si>
    <t xml:space="preserve">INT-03</t>
  </si>
  <si>
    <t xml:space="preserve">Mes commentaires ailleurs</t>
  </si>
  <si>
    <t xml:space="preserve">Les commentaires que je fais sur les posts des autres.</t>
  </si>
  <si>
    <t xml:space="preserve">Visibles uniquement par mes Sangs (et par l'Atome en option). Les Amis et les Proches ne les voient plus relayés.</t>
  </si>
  <si>
    <t xml:space="preserve">Seulement les commentaires déjà visibles par l'observateur ; jamais les DM ; reprend l'actuel friend_story_comment, dont l'audience passe d'Amis à Sang.</t>
  </si>
  <si>
    <t xml:space="preserve">ON pour les Sangs</t>
  </si>
  <si>
    <t xml:space="preserve">Désactivé</t>
  </si>
  <si>
    <t xml:space="preserve">INT-04</t>
  </si>
  <si>
    <t xml:space="preserve">Qui commente mes posts</t>
  </si>
  <si>
    <t xml:space="preserve">La liste et l'activité des personnes qui commentent mes publications.</t>
  </si>
  <si>
    <t xml:space="preserve">Relayée aux Proches et au-dessus ; les Amis ne voient plus qui a commenté mes publications hors du post lui-même.</t>
  </si>
  <si>
    <t xml:space="preserve">Les tiers ne sont affichés que si leur commentaire est déjà visible par l'observateur.</t>
  </si>
  <si>
    <t xml:space="preserve">INT-05</t>
  </si>
  <si>
    <t xml:space="preserve">Résumé social hebdo</t>
  </si>
  <si>
    <t xml:space="preserve">Récap de la semaine de l'autre (posts, temps forts).</t>
  </si>
  <si>
    <t xml:space="preserve">Option Sang ; option Atome pour ses électrons.</t>
  </si>
  <si>
    <t xml:space="preserve">PRE-01</t>
  </si>
  <si>
    <t xml:space="preserve">Présence &amp; Activité</t>
  </si>
  <si>
    <t xml:space="preserve">Présence en ligne</t>
  </si>
  <si>
    <t xml:space="preserve">Pastille de présence.</t>
  </si>
  <si>
    <t xml:space="preserve">Ami : « en ligne » ou rien (pas d'absent, d'inactif ni de « vu il y a »). Proche et au-dessus : présence détaillée (en ligne, absent, inactif, vu il y a X).</t>
  </si>
  <si>
    <t xml:space="preserve">Reprend presence-visibility (amis acceptés) en dégradant la granularité pour le niveau Ami ; masquable globalement.</t>
  </si>
  <si>
    <t xml:space="preserve">PRE-02</t>
  </si>
  <si>
    <t xml:space="preserve">Activité en cours + durée</t>
  </si>
  <si>
    <t xml:space="preserve">« 🎧 En studio depuis 2 h ».</t>
  </si>
  <si>
    <t xml:space="preserve">Proche : catégorie approximative ; Sang : détail en temps réel ; Atome : détail pour ses électrons.</t>
  </si>
  <si>
    <t xml:space="preserve">Saisie manuelle ou détection opt-in.</t>
  </si>
  <si>
    <t xml:space="preserve">OFF jusqu'au rituel</t>
  </si>
  <si>
    <t xml:space="preserve">Pas de détection auto</t>
  </si>
  <si>
    <t xml:space="preserve">PRE-03</t>
  </si>
  <si>
    <t xml:space="preserve">Détection automatique d'activité</t>
  </si>
  <si>
    <t xml:space="preserve">Déduite du mouvement, de la musique, du lieu.</t>
  </si>
  <si>
    <t xml:space="preserve">Opt-in explicite, désactivable à tout moment.</t>
  </si>
  <si>
    <t xml:space="preserve">Traitement sur l'appareil quand c'est possible.</t>
  </si>
  <si>
    <t xml:space="preserve">Interdit</t>
  </si>
  <si>
    <t xml:space="preserve">PRE-04</t>
  </si>
  <si>
    <t xml:space="preserve">Ce que X écoute / regarde</t>
  </si>
  <si>
    <t xml:space="preserve">Proche : la catégorie seule (« écoute de la musique », « regarde une vidéo », « navigue »). Sang : le titre et son origine (Spotify, Apple Music, YouTube, Netflix, Meeshy…).</t>
  </si>
  <si>
    <t xml:space="preserve">Temps réel. Android : sessions média du système ; iOS : lectures Meeshy, Apple Music, Spotify (connexion du compte), les autres apps ne sont pas lisibles et l'interface le dit ; web : reçoit seulement, ne transmet rien.</t>
  </si>
  <si>
    <t xml:space="preserve">La précision est tronquée côté serveur selon le niveau effectif (un Proche ne reçoit jamais le titre) ; pause et liste d'apps exclues par l'émetteur ; rien n'est stocké au-delà de l'état en cours.</t>
  </si>
  <si>
    <t xml:space="preserve">ON (Proche : catégorie ; Sang : détail)</t>
  </si>
  <si>
    <t xml:space="preserve">PRE-05</t>
  </si>
  <si>
    <t xml:space="preserve">Batterie du téléphone</t>
  </si>
  <si>
    <t xml:space="preserve">Niveau de batterie.</t>
  </si>
  <si>
    <t xml:space="preserve">Option Sang ; par défaut pour l'Atome sur ses électrons.</t>
  </si>
  <si>
    <t xml:space="preserve">PRE-06</t>
  </si>
  <si>
    <t xml:space="preserve">Statut sommeil</t>
  </si>
  <si>
    <t xml:space="preserve">« Dort » / « réveillé·e depuis 7 h ».</t>
  </si>
  <si>
    <t xml:space="preserve">Déduit de l'inactivité ou réglé manuellement.</t>
  </si>
  <si>
    <t xml:space="preserve">PRE-07</t>
  </si>
  <si>
    <t xml:space="preserve">Ne pas déranger visible</t>
  </si>
  <si>
    <t xml:space="preserve">Indique que je suis indisponible.</t>
  </si>
  <si>
    <t xml:space="preserve">LOC-01</t>
  </si>
  <si>
    <t xml:space="preserve">Localisation</t>
  </si>
  <si>
    <t xml:space="preserve">Envoyer un point</t>
  </si>
  <si>
    <t xml:space="preserve">Partager une adresse ou un lieu une fois.</t>
  </si>
  <si>
    <t xml:space="preserve">Message de type position.</t>
  </si>
  <si>
    <t xml:space="preserve">Majeurs non-Amis exclus</t>
  </si>
  <si>
    <t xml:space="preserve">LOC-02</t>
  </si>
  <si>
    <t xml:space="preserve">Position live temporaire</t>
  </si>
  <si>
    <t xml:space="preserve">Partage en direct 1 h / 8 h / jusqu'à l'arrivée.</t>
  </si>
  <si>
    <t xml:space="preserve">S'arrête tout seul à la fin.</t>
  </si>
  <si>
    <t xml:space="preserve">Indicateur permanent pendant le partage.</t>
  </si>
  <si>
    <t xml:space="preserve">Max 1 h hors famille</t>
  </si>
  <si>
    <t xml:space="preserve">LOC-03</t>
  </si>
  <si>
    <t xml:space="preserve">Position temps réel continue (Sang)</t>
  </si>
  <si>
    <t xml:space="preserve">Toutes mes positions visibles en temps réel et en continu par mes Sangs, sans partage manuel.</t>
  </si>
  <si>
    <t xml:space="preserve">Reprend le partage live existant (LocationHandler) au niveau du lien Sang. DERRIÈRE UN FLAG : tests locaux et entre téléphones personnels jusqu'à ce que la dynamique des cercles soit validée.</t>
  </si>
  <si>
    <t xml:space="preserve">Consultations journalisées côté observé ; fantôme toujours possible.</t>
  </si>
  <si>
    <t xml:space="preserve">Flag OFF (comptes de test)</t>
  </si>
  <si>
    <t xml:space="preserve">Temporaire hors famille</t>
  </si>
  <si>
    <t xml:space="preserve">LOC-04</t>
  </si>
  <si>
    <t xml:space="preserve">Alerte de proximité (Sang)</t>
  </si>
  <si>
    <t xml:space="preserve">Notification quand un Sang est proche de moi (« Awa est à 200 m »).</t>
  </si>
  <si>
    <t xml:space="preserve">Envoyée aux deux personnes en même temps. Même flag que la position.</t>
  </si>
  <si>
    <t xml:space="preserve">Rayon réglable ; une alerte max par paire toutes les 2 h ; pas d'alerte si l'un est en fantôme.</t>
  </si>
  <si>
    <t xml:space="preserve">LOC-05</t>
  </si>
  <si>
    <t xml:space="preserve">Position de l'électron (Atome)</t>
  </si>
  <si>
    <t xml:space="preserve">L'Atome voit la position de ses électrons.</t>
  </si>
  <si>
    <t xml:space="preserve">Électron mineur : toujours visible par l'Atome ; électron majeur : selon son consentement.</t>
  </si>
  <si>
    <t xml:space="preserve">L'électron voit un indicateur permanent et sait ce que l'Atome voit.</t>
  </si>
  <si>
    <t xml:space="preserve">Non (indicateur permanent)</t>
  </si>
  <si>
    <t xml:space="preserve">Cas d'usage principal</t>
  </si>
  <si>
    <t xml:space="preserve">LOC-06</t>
  </si>
  <si>
    <t xml:space="preserve">Précision réglable</t>
  </si>
  <si>
    <t xml:space="preserve">Exacte / quartier / ville.</t>
  </si>
  <si>
    <t xml:space="preserve">Par personne et par niveau.</t>
  </si>
  <si>
    <t xml:space="preserve">Le niveau le plus restrictif s'applique.</t>
  </si>
  <si>
    <t xml:space="preserve">Ville pour Proche</t>
  </si>
  <si>
    <t xml:space="preserve">Ville par défaut</t>
  </si>
  <si>
    <t xml:space="preserve">LOC-07</t>
  </si>
  <si>
    <t xml:space="preserve">Carte « Mon univers »</t>
  </si>
  <si>
    <t xml:space="preserve">Avatars sur la carte.</t>
  </si>
  <si>
    <t xml:space="preserve">Affiche les Sangs en continu et les électrons pour leur Atome.</t>
  </si>
  <si>
    <t xml:space="preserve">LOC-08</t>
  </si>
  <si>
    <t xml:space="preserve">Co-présence</t>
  </si>
  <si>
    <t xml:space="preserve">« Vous êtes ensemble » détecté.</t>
  </si>
  <si>
    <t xml:space="preserve">Propose une photo ou un souvenir.</t>
  </si>
  <si>
    <t xml:space="preserve">Les deux doivent avoir activé la détection.</t>
  </si>
  <si>
    <t xml:space="preserve">LOC-09</t>
  </si>
  <si>
    <t xml:space="preserve">Arrivée / départ de lieux</t>
  </si>
  <si>
    <t xml:space="preserve">Notification quand l'autre arrive à la maison, à l'école…</t>
  </si>
  <si>
    <t xml:space="preserve">Sang : lieux définis par la personne observée ; Atome : zones définies par l'Atome (voir Contrôle parental).</t>
  </si>
  <si>
    <t xml:space="preserve">Max 5 lieux entre Sangs.</t>
  </si>
  <si>
    <t xml:space="preserve">Via l'Atome</t>
  </si>
  <si>
    <t xml:space="preserve">LOC-10</t>
  </si>
  <si>
    <t xml:space="preserve">Journal des consultations</t>
  </si>
  <si>
    <t xml:space="preserve">Qui a regardé ma position et quand.</t>
  </si>
  <si>
    <t xml:space="preserve">Visible uniquement par la personne observée.</t>
  </si>
  <si>
    <t xml:space="preserve">Conservé 30 j.</t>
  </si>
  <si>
    <t xml:space="preserve">LOC-11</t>
  </si>
  <si>
    <t xml:space="preserve">Historique de trajets 30 jours</t>
  </si>
  <si>
    <t xml:space="preserve">Les Sangs voient en temps réel et gardent l'historique des trajets.</t>
  </si>
  <si>
    <t xml:space="preserve">Conservé 30 jours puis purgé automatiquement ; visible uniquement entre Sangs et par l'Atome.</t>
  </si>
  <si>
    <t xml:space="preserve">Les périodes en fantôme ne sont jamais enregistrées ; chacun peut effacer son propre historique ; chiffré au repos ; même flag que la position.</t>
  </si>
  <si>
    <t xml:space="preserve">Visible par l'Atome</t>
  </si>
  <si>
    <t xml:space="preserve">LOC-12</t>
  </si>
  <si>
    <t xml:space="preserve">Gel / flou de position</t>
  </si>
  <si>
    <t xml:space="preserve">Figer ma position ou la flouter à la ville.</t>
  </si>
  <si>
    <t xml:space="preserve">L'autre ne sait pas qu'elle est figée.</t>
  </si>
  <si>
    <t xml:space="preserve">Activable par personne ou globalement ; un électron mineur ne peut pas se cacher de son Atome.</t>
  </si>
  <si>
    <t xml:space="preserve">SEC-01</t>
  </si>
  <si>
    <t xml:space="preserve">Sécurité</t>
  </si>
  <si>
    <t xml:space="preserve">SOS</t>
  </si>
  <si>
    <t xml:space="preserve">Appui long → position + alerte à mes Sangs et à mon Atome.</t>
  </si>
  <si>
    <t xml:space="preserve">Partage live forcé pendant 1 h.</t>
  </si>
  <si>
    <t xml:space="preserve">Annulable avec un code.</t>
  </si>
  <si>
    <t xml:space="preserve">Oui (urgent)</t>
  </si>
  <si>
    <t xml:space="preserve">Inclut les parents liés</t>
  </si>
  <si>
    <t xml:space="preserve">SEC-02</t>
  </si>
  <si>
    <t xml:space="preserve">Bien rentré·e</t>
  </si>
  <si>
    <t xml:space="preserve">Alerte d'arrivée à destination.</t>
  </si>
  <si>
    <t xml:space="preserve">Option Proche ; Sang ; automatique Atome.</t>
  </si>
  <si>
    <t xml:space="preserve">SEC-03</t>
  </si>
  <si>
    <t xml:space="preserve">Code secret</t>
  </si>
  <si>
    <t xml:space="preserve">Mot-code tapé dans n'importe quel chat qui déclenche un SOS discret.</t>
  </si>
  <si>
    <t xml:space="preserve">Rien ne s'affiche côté expéditeur.</t>
  </si>
  <si>
    <t xml:space="preserve">SEC-04</t>
  </si>
  <si>
    <t xml:space="preserve">Contact de confiance</t>
  </si>
  <si>
    <t xml:space="preserve">Un Sang ou l'Atome peut aider à récupérer mon compte.</t>
  </si>
  <si>
    <t xml:space="preserve">Validation par 2 contacts minimum.</t>
  </si>
  <si>
    <t xml:space="preserve">SEC-05</t>
  </si>
  <si>
    <t xml:space="preserve">Détection de contrôle</t>
  </si>
  <si>
    <t xml:space="preserve">Consultations de position excessives (&gt; N/jour).</t>
  </si>
  <si>
    <t xml:space="preserve">Message discret à la personne observée : « On regarde souvent ta position, tout va bien ? »</t>
  </si>
  <si>
    <t xml:space="preserve">Jamais signalé à l'observateur.</t>
  </si>
  <si>
    <t xml:space="preserve">Seuil abaissé</t>
  </si>
  <si>
    <t xml:space="preserve">SEC-06</t>
  </si>
  <si>
    <t xml:space="preserve">Signaler / bloquer</t>
  </si>
  <si>
    <t xml:space="preserve">Signalement d'un compte ou contenu.</t>
  </si>
  <si>
    <t xml:space="preserve">Le signalement n'est pas notifié à la personne signalée.</t>
  </si>
  <si>
    <t xml:space="preserve">PRJ-01</t>
  </si>
  <si>
    <t xml:space="preserve">Projets</t>
  </si>
  <si>
    <t xml:space="preserve">Étiquette Projet</t>
  </si>
  <si>
    <t xml:space="preserve">Contexte cumulable avec n'importe quel niveau.</t>
  </si>
  <si>
    <t xml:space="preserve">Une personne peut être Ami + Projet.</t>
  </si>
  <si>
    <t xml:space="preserve">Ne débloque aucun droit de proximité.</t>
  </si>
  <si>
    <t xml:space="preserve">PRJ-02</t>
  </si>
  <si>
    <t xml:space="preserve">Espace projet</t>
  </si>
  <si>
    <t xml:space="preserve">Chat, fichiers, tâches partagées.</t>
  </si>
  <si>
    <t xml:space="preserve">Accès réservé aux membres du projet.</t>
  </si>
  <si>
    <t xml:space="preserve">PRJ-03</t>
  </si>
  <si>
    <t xml:space="preserve">Statut projet</t>
  </si>
  <si>
    <t xml:space="preserve">« 🎯 Sur le clip avec Yanis ».</t>
  </si>
  <si>
    <t xml:space="preserve">Visible uniquement par les membres du projet.</t>
  </si>
  <si>
    <t xml:space="preserve">PRJ-04</t>
  </si>
  <si>
    <t xml:space="preserve">Recherche de membres</t>
  </si>
  <si>
    <t xml:space="preserve">Annonce « on cherche un monteur ».</t>
  </si>
  <si>
    <t xml:space="preserve">Publiée au niveau Communauté ou Public.</t>
  </si>
  <si>
    <t xml:space="preserve">Communauté seulement</t>
  </si>
  <si>
    <t xml:space="preserve">PRJ-05</t>
  </si>
  <si>
    <t xml:space="preserve">Fin de projet</t>
  </si>
  <si>
    <t xml:space="preserve">Récap du projet + proposition de passer en Ami.</t>
  </si>
  <si>
    <t xml:space="preserve">Suggestion envoyée aux deux.</t>
  </si>
  <si>
    <t xml:space="preserve">PRJ-06</t>
  </si>
  <si>
    <t xml:space="preserve">Autres contextes</t>
  </si>
  <si>
    <t xml:space="preserve">École, Famille, Sport, Taf…</t>
  </si>
  <si>
    <t xml:space="preserve">Mêmes règles que Projet.</t>
  </si>
  <si>
    <t xml:space="preserve">Famille vérifiée = contexte spécial pour les mineurs.</t>
  </si>
  <si>
    <t xml:space="preserve">Famille vérifiée</t>
  </si>
  <si>
    <t xml:space="preserve">GAM-01</t>
  </si>
  <si>
    <t xml:space="preserve">Gamification &amp; Souvenirs</t>
  </si>
  <si>
    <t xml:space="preserve">Niveau, nomination et rang</t>
  </si>
  <si>
    <t xml:space="preserve">Niveau de jeu, nomination (les titres) et rang.</t>
  </si>
  <si>
    <t xml:space="preserve">Visibles par les Amis et au-dessus : c'est tout ce que voit un Ami du jeu.</t>
  </si>
  <si>
    <t xml:space="preserve">Visibilité = minimum(réglage du jeu, cercle) : le jeu suit toujours le cercle (GameProfile.*Visibility aligné).</t>
  </si>
  <si>
    <t xml:space="preserve">GAM-02</t>
  </si>
  <si>
    <t xml:space="preserve">Étincelles et gloire</t>
  </si>
  <si>
    <t xml:space="preserve">Compteurs d'étincelles et de gloire.</t>
  </si>
  <si>
    <t xml:space="preserve">Visibles par les Proches et au-dessus, jamais par les simples Amis.</t>
  </si>
  <si>
    <t xml:space="preserve">Minimum(réglage du jeu, cercle).</t>
  </si>
  <si>
    <t xml:space="preserve">GAM-03</t>
  </si>
  <si>
    <t xml:space="preserve">Ancienneté du lien</t>
  </si>
  <si>
    <t xml:space="preserve">« 🩸 depuis 247 jours ».</t>
  </si>
  <si>
    <t xml:space="preserve">Ne diminue jamais (pas de perte comme les flammes).</t>
  </si>
  <si>
    <t xml:space="preserve">GAM-04</t>
  </si>
  <si>
    <t xml:space="preserve">Anniversaire du lien</t>
  </si>
  <si>
    <t xml:space="preserve">Célébration chaque année.</t>
  </si>
  <si>
    <t xml:space="preserve">Animation + souvenir proposé.</t>
  </si>
  <si>
    <t xml:space="preserve">GAM-05</t>
  </si>
  <si>
    <t xml:space="preserve">Récap mensuel</t>
  </si>
  <si>
    <t xml:space="preserve">« Ce mois-ci avec Awa : 312 messages, 4 appels… »</t>
  </si>
  <si>
    <t xml:space="preserve">Partageable en story (sans données sensibles).</t>
  </si>
  <si>
    <t xml:space="preserve">Jamais de position dans le récap partagé.</t>
  </si>
  <si>
    <t xml:space="preserve">GAM-06</t>
  </si>
  <si>
    <t xml:space="preserve">Capsule de souvenirs</t>
  </si>
  <si>
    <t xml:space="preserve">Photos et vocaux communs, visibles des deux seulement.</t>
  </si>
  <si>
    <t xml:space="preserve">Peut être scellée jusqu'à une date.</t>
  </si>
  <si>
    <t xml:space="preserve">GAM-07</t>
  </si>
  <si>
    <t xml:space="preserve">Énergie du lien</t>
  </si>
  <si>
    <t xml:space="preserve">L'orbite se rapproche ou s'éloigne selon les échanges.</t>
  </si>
  <si>
    <t xml:space="preserve">Effet visuel uniquement, ne change jamais le niveau.</t>
  </si>
  <si>
    <t xml:space="preserve">GAM-08</t>
  </si>
  <si>
    <t xml:space="preserve">Molécule</t>
  </si>
  <si>
    <t xml:space="preserve">Plusieurs de mes Sangs réunis au même endroit.</t>
  </si>
  <si>
    <t xml:space="preserve">Animation + photo de groupe proposée.</t>
  </si>
  <si>
    <t xml:space="preserve">Basé sur la co-présence opt-in.</t>
  </si>
  <si>
    <t xml:space="preserve">GAM-09</t>
  </si>
  <si>
    <t xml:space="preserve">Thème de conversation</t>
  </si>
  <si>
    <t xml:space="preserve">Couleurs/fond de chat communs.</t>
  </si>
  <si>
    <t xml:space="preserve">Débloqué par niveau (thèmes exclusifs Sang).</t>
  </si>
  <si>
    <t xml:space="preserve">GAM-10</t>
  </si>
  <si>
    <t xml:space="preserve">Défis à deux</t>
  </si>
  <si>
    <t xml:space="preserve">Mini-défis (photo du jour, quiz « tu me connais ? »).</t>
  </si>
  <si>
    <t xml:space="preserve">Récompenses cosmétiques uniquement.</t>
  </si>
  <si>
    <t xml:space="preserve">Aucune pénalité si on rate.</t>
  </si>
  <si>
    <t xml:space="preserve">CONF-01</t>
  </si>
  <si>
    <t xml:space="preserve">Confidentialité</t>
  </si>
  <si>
    <t xml:space="preserve">Mode fantôme global</t>
  </si>
  <si>
    <t xml:space="preserve">Disparaître de la carte et de la présence.</t>
  </si>
  <si>
    <t xml:space="preserve">Les autres voient « position indisponible », sans raison.</t>
  </si>
  <si>
    <t xml:space="preserve">Activable en 1 tap depuis n'importe où.</t>
  </si>
  <si>
    <t xml:space="preserve">CONF-02</t>
  </si>
  <si>
    <t xml:space="preserve">Fantôme ciblé silencieux</t>
  </si>
  <si>
    <t xml:space="preserve">Me cacher d'une personne précise.</t>
  </si>
  <si>
    <t xml:space="preserve">Elle voit ma dernière position floue ou « indisponible ».</t>
  </si>
  <si>
    <t xml:space="preserve">Aucune notification, aucun indice.</t>
  </si>
  <si>
    <t xml:space="preserve">CONF-03</t>
  </si>
  <si>
    <t xml:space="preserve">Réglages par feature et par personne</t>
  </si>
  <si>
    <t xml:space="preserve">Chaque partage s'active/désactive individuellement.</t>
  </si>
  <si>
    <t xml:space="preserve">Le niveau fixe le maximum, pas une obligation.</t>
  </si>
  <si>
    <t xml:space="preserve">CONF-04</t>
  </si>
  <si>
    <t xml:space="preserve">Tableau « qui voit quoi »</t>
  </si>
  <si>
    <t xml:space="preserve">Vue récapitulative de tous mes partages actifs.</t>
  </si>
  <si>
    <t xml:space="preserve">Coupure groupée possible.</t>
  </si>
  <si>
    <t xml:space="preserve">CONF-05</t>
  </si>
  <si>
    <t xml:space="preserve">Pause du lien</t>
  </si>
  <si>
    <t xml:space="preserve">Suspendre temporairement les partages d'un lien.</t>
  </si>
  <si>
    <t xml:space="preserve">Le niveau est conservé, les partages sont suspendus.</t>
  </si>
  <si>
    <t xml:space="preserve">Durée 1 j à 30 j.</t>
  </si>
  <si>
    <t xml:space="preserve">CONF-06</t>
  </si>
  <si>
    <t xml:space="preserve">Export / suppression des données</t>
  </si>
  <si>
    <t xml:space="preserve">Droits RGPD.</t>
  </si>
  <si>
    <t xml:space="preserve">Export complet et suppression du compte.</t>
  </si>
  <si>
    <t xml:space="preserve">NOT-01</t>
  </si>
  <si>
    <t xml:space="preserve">Notifications</t>
  </si>
  <si>
    <t xml:space="preserve">Demandes de niveau</t>
  </si>
  <si>
    <t xml:space="preserve">Notification des demandes de connexion et de montée.</t>
  </si>
  <si>
    <t xml:space="preserve">Accepter / ignorer ; l'ignorance n'est pas signalée.</t>
  </si>
  <si>
    <t xml:space="preserve">NOT-02</t>
  </si>
  <si>
    <t xml:space="preserve">Notifications de mes nouveaux posts</t>
  </si>
  <si>
    <t xml:space="preserve">Nouveau post, reel, story ou mood de la personne.</t>
  </si>
  <si>
    <t xml:space="preserve">Envoyées aux Proches et au-dessus ; les Amis les voient dans le fil sans être notifiés.</t>
  </si>
  <si>
    <t xml:space="preserve">Reprend friend_new_post / friend_new_story / friend_new_mood, dont l'audience passe d'Amis à Proche et + ; réglable par le destinataire.</t>
  </si>
  <si>
    <t xml:space="preserve">NOT-03</t>
  </si>
  <si>
    <t xml:space="preserve">Silence sur les baisses</t>
  </si>
  <si>
    <t xml:space="preserve">Aucune notification de rétrogradation ni de sortie.</t>
  </si>
  <si>
    <t xml:space="preserve">Règle non désactivable.</t>
  </si>
  <si>
    <t xml:space="preserve">NOT-04</t>
  </si>
  <si>
    <t xml:space="preserve">Notification de consultation</t>
  </si>
  <si>
    <t xml:space="preserve">Être prévenu quand on regarde ma position.</t>
  </si>
  <si>
    <t xml:space="preserve">Option côté personne observée.</t>
  </si>
  <si>
    <t xml:space="preserve">ON par défaut</t>
  </si>
  <si>
    <t xml:space="preserve">NOT-05</t>
  </si>
  <si>
    <t xml:space="preserve">Notifications par cercle</t>
  </si>
  <si>
    <t xml:space="preserve">Réglages sonores et priorité par niveau.</t>
  </si>
  <si>
    <t xml:space="preserve">Sang et Atome = priorité max par défaut.</t>
  </si>
  <si>
    <t xml:space="preserve">PAR-01</t>
  </si>
  <si>
    <t xml:space="preserve">Contrôle parental (Atome)</t>
  </si>
  <si>
    <t xml:space="preserve">Tableau de bord Atome</t>
  </si>
  <si>
    <t xml:space="preserve">Vue de tous les électrons : position, batterie, activité, alertes.</t>
  </si>
  <si>
    <t xml:space="preserve">Un écran unique pour l'Atome.</t>
  </si>
  <si>
    <t xml:space="preserve">Ne montre jamais le contenu des messages.</t>
  </si>
  <si>
    <t xml:space="preserve">PAR-02</t>
  </si>
  <si>
    <t xml:space="preserve">Zones (géorepérage)</t>
  </si>
  <si>
    <t xml:space="preserve">Maison, école, entraînement…</t>
  </si>
  <si>
    <t xml:space="preserve">Notification à l'Atome à l'entrée/sortie d'une zone.</t>
  </si>
  <si>
    <t xml:space="preserve">Max 10 zones par électron ; l'électron voit la liste des zones.</t>
  </si>
  <si>
    <t xml:space="preserve">Non (zones visibles)</t>
  </si>
  <si>
    <t xml:space="preserve">PAR-03</t>
  </si>
  <si>
    <t xml:space="preserve">Validation des nouveaux liens</t>
  </si>
  <si>
    <t xml:space="preserve">L'Atome approuve les nouveaux Amis/Proches/Sangs de l'électron mineur.</t>
  </si>
  <si>
    <t xml:space="preserve">Réglable par niveau (ex. validation obligatoire pour Sang).</t>
  </si>
  <si>
    <t xml:space="preserve">Mineurs uniquement.</t>
  </si>
  <si>
    <t xml:space="preserve">ON pour Sang</t>
  </si>
  <si>
    <t xml:space="preserve">Mineurs uniquement</t>
  </si>
  <si>
    <t xml:space="preserve">PAR-04</t>
  </si>
  <si>
    <t xml:space="preserve">Voir les cercles de l'électron</t>
  </si>
  <si>
    <t xml:space="preserve">Liste des Amis/Proches/Sangs de l'électron.</t>
  </si>
  <si>
    <t xml:space="preserve">Liste uniquement, pas le contenu des échanges.</t>
  </si>
  <si>
    <t xml:space="preserve">Non (indicateur)</t>
  </si>
  <si>
    <t xml:space="preserve">PAR-05</t>
  </si>
  <si>
    <t xml:space="preserve">Heures calmes et limites</t>
  </si>
  <si>
    <t xml:space="preserve">Plages sans notifications ni talkie (nuit, école), temps d'écran.</t>
  </si>
  <si>
    <t xml:space="preserve">Appliqué sur l'appareil de l'électron.</t>
  </si>
  <si>
    <t xml:space="preserve">Le SOS et l'Atome passent toujours.</t>
  </si>
  <si>
    <t xml:space="preserve">PAR-06</t>
  </si>
  <si>
    <t xml:space="preserve">Restrictions de contact</t>
  </si>
  <si>
    <t xml:space="preserve">Bloquer les messages du Public/Communauté, limiter les appels.</t>
  </si>
  <si>
    <t xml:space="preserve">Réglages poussés sur le compte de l'électron.</t>
  </si>
  <si>
    <t xml:space="preserve">PAR-07</t>
  </si>
  <si>
    <t xml:space="preserve">Transparence pour l'électron</t>
  </si>
  <si>
    <t xml:space="preserve">L'électron voit exactement ce que l'Atome voit et contrôle.</t>
  </si>
  <si>
    <t xml:space="preserve">Indicateur permanent + écran « ce que mon Atome voit ».</t>
  </si>
  <si>
    <t xml:space="preserve">Non désactivable.</t>
  </si>
  <si>
    <t xml:space="preserve">PAR-08</t>
  </si>
  <si>
    <t xml:space="preserve">Passage à la majorité</t>
  </si>
  <si>
    <t xml:space="preserve">À 18 ans, les contrôles sont retirés.</t>
  </si>
  <si>
    <t xml:space="preserve">Le lien prend fin ou devient Sang si l'électron le choisit.</t>
  </si>
  <si>
    <t xml:space="preserve">Notification à l'électron 30 j avant.</t>
  </si>
  <si>
    <t xml:space="preserve">PAR-09</t>
  </si>
  <si>
    <t xml:space="preserve">Aide hors Atome</t>
  </si>
  <si>
    <t xml:space="preserve">Accès à des ressources d'aide et au signalement, même sous contrôle parental.</t>
  </si>
  <si>
    <t xml:space="preserve">Toujours accessible, jamais journalisé côté Atome.</t>
  </si>
  <si>
    <t xml:space="preserve">Protège l'enfant si l'Atome est lui-même un danger.</t>
  </si>
  <si>
    <t xml:space="preserve">Obligatoire</t>
  </si>
  <si>
    <t xml:space="preserve">MIN-01</t>
  </si>
  <si>
    <t xml:space="preserve">Mineurs &amp; Modération</t>
  </si>
  <si>
    <t xml:space="preserve">Vérification d'âge</t>
  </si>
  <si>
    <t xml:space="preserve">Âge déclaré + vérification pour les features sensibles.</t>
  </si>
  <si>
    <t xml:space="preserve">Requise avant le Sang, la position et le lien Atome.</t>
  </si>
  <si>
    <t xml:space="preserve">MIN-02</t>
  </si>
  <si>
    <t xml:space="preserve">Restrictions mineur ↔ majeur</t>
  </si>
  <si>
    <t xml:space="preserve">Pas de Sang entre mineur et majeur hors famille vérifiée ; Atome réservé au parent/tuteur vérifié.</t>
  </si>
  <si>
    <t xml:space="preserve">Blocage au moment de la demande.</t>
  </si>
  <si>
    <t xml:space="preserve">Non contournable.</t>
  </si>
  <si>
    <t xml:space="preserve">MIN-03</t>
  </si>
  <si>
    <t xml:space="preserve">Anti-spam / anti-harcèlement</t>
  </si>
  <si>
    <t xml:space="preserve">Filtrage des demandes et commentaires.</t>
  </si>
  <si>
    <t xml:space="preserve">Score de risque, floutage des médias.</t>
  </si>
  <si>
    <t xml:space="preserve">Renforcé</t>
  </si>
  <si>
    <t xml:space="preserve">MIN-04</t>
  </si>
  <si>
    <t xml:space="preserve">Modération des signalements</t>
  </si>
  <si>
    <t xml:space="preserve">Traitement humain + automatique.</t>
  </si>
  <si>
    <t xml:space="preserve">Priorité aux signalements impliquant des mineurs ou la position.</t>
  </si>
  <si>
    <t xml:space="preserve">Prioritaire</t>
  </si>
  <si>
    <t xml:space="preserve">Domaine</t>
  </si>
  <si>
    <t xml:space="preserve">Règle</t>
  </si>
  <si>
    <t xml:space="preserve">Pourquoi / note</t>
  </si>
  <si>
    <t xml:space="preserve">RG-01</t>
  </si>
  <si>
    <t xml:space="preserve">Le niveau effectif d'un lien est le minimum des niveaux accordés par chacun.</t>
  </si>
  <si>
    <t xml:space="preserve">Exception : le lien Atome → électron est asymétrique par nature (contrôle parental).</t>
  </si>
  <si>
    <t xml:space="preserve">RG-02</t>
  </si>
  <si>
    <t xml:space="preserve">Toute relation commence au Public ; Communauté est calculée. La Connaissance est le lien de base : créée automatiquement quand les conditions d'interaction sont réunies (dans chaque sens : ~10 interactions dont au moins 1 message, 1 like, 1 vue de post et 1 message audio), ou sur demande de connexion acceptée.</t>
  </si>
  <si>
    <t xml:space="preserve">Seuils réglables en config.</t>
  </si>
  <si>
    <t xml:space="preserve">RG-03</t>
  </si>
  <si>
    <t xml:space="preserve">Ami, Proche et Sang s'obtiennent toujours sur demande acceptée, seulement quand les conditions sont remplies, et cran par cran : on ne saute jamais une phase. L'Atome est un rôle de contrôle parental, pas une étape.</t>
  </si>
  <si>
    <t xml:space="preserve">Respecte les anciennetés minimales.</t>
  </si>
  <si>
    <t xml:space="preserve">RG-04</t>
  </si>
  <si>
    <t xml:space="preserve">Continuité d'interactions (commentaire, like/réaction, message privé, partage de post, réponse de story, mention, appel) : Proche = 1 mois continu, Sang = 1 an continu. Semaine active = chacun a interagi avec l'autre ; une semaine manquée remet la série à zéro ; le niveau atteint est conservé.</t>
  </si>
  <si>
    <t xml:space="preserve">L'éligibilité permet de proposer ; elle ne fait jamais monter automatiquement. Règle à confirmer en décision produit.</t>
  </si>
  <si>
    <t xml:space="preserve">RG-05</t>
  </si>
  <si>
    <t xml:space="preserve">Pas de plafond pour Proche ni Sang. Un Atome gère 7 électrons maximum ; un électron a 2 Atomes maximum.</t>
  </si>
  <si>
    <t xml:space="preserve">Le maximum de 2 Atomes par électron est une hypothèse (deux parents/tuteurs).</t>
  </si>
  <si>
    <t xml:space="preserve">RG-06</t>
  </si>
  <si>
    <t xml:space="preserve">L'Atome gère ses électrons ; les électrons d'un même Atome ne gagnent aucun droit les uns sur les autres.</t>
  </si>
  <si>
    <t xml:space="preserve">Les frères et sœurs restent liés par leurs propres niveaux.</t>
  </si>
  <si>
    <t xml:space="preserve">RG-07</t>
  </si>
  <si>
    <t xml:space="preserve">Descendre de niveau, sortir d'un cercle ou bloquer ne génère aucune notification.</t>
  </si>
  <si>
    <t xml:space="preserve">Protège les personnes sous emprise.</t>
  </si>
  <si>
    <t xml:space="preserve">RG-08</t>
  </si>
  <si>
    <t xml:space="preserve">Après une baisse ou un refus, l'autre ne peut pas redemander de montée avant 30 jours.</t>
  </si>
  <si>
    <t xml:space="preserve">Anti-harcèlement.</t>
  </si>
  <si>
    <t xml:space="preserve">RG-09</t>
  </si>
  <si>
    <t xml:space="preserve">Consentement</t>
  </si>
  <si>
    <t xml:space="preserve">Le niveau fixe un plafond de droits ; chaque partage (position, activité, interactions) reste activé individuellement.</t>
  </si>
  <si>
    <t xml:space="preserve">Le rituel présente chaque partage avec une case à cocher.</t>
  </si>
  <si>
    <t xml:space="preserve">RG-10</t>
  </si>
  <si>
    <t xml:space="preserve">Rappels périodiques de consentement : Proche avec position 30 j, Sang 90 j, électron majeur d'un Atome 60 j.</t>
  </si>
  <si>
    <t xml:space="preserve">Réponse en un tap.</t>
  </si>
  <si>
    <t xml:space="preserve">RG-11</t>
  </si>
  <si>
    <t xml:space="preserve">L'électron voit toujours ce que l'Atome voit ; à 18 ans, les contrôles sont retirés (fin du lien ou passage en Sang au choix de l'électron).</t>
  </si>
  <si>
    <t xml:space="preserve">Transparence non désactivable.</t>
  </si>
  <si>
    <t xml:space="preserve">RG-12</t>
  </si>
  <si>
    <t xml:space="preserve">L'historique de trajets est conservé 30 jours puis purgé ; visible uniquement entre Sangs et par l'Atome ; les périodes en fantôme ne sont pas enregistrées ; chacun peut effacer le sien.</t>
  </si>
  <si>
    <t xml:space="preserve">Analyse d'impact RGPD obligatoire avant livraison.</t>
  </si>
  <si>
    <t xml:space="preserve">RG-13</t>
  </si>
  <si>
    <t xml:space="preserve">Sang = positions en temps réel + historique 30 j + alerte de proximité (opt-in au rituel). Atome = position et historique des électrons + zones. Activé derrière un flag, réservé aux tests locaux et entre téléphones personnels jusqu'à validation de la dynamique des cercles.</t>
  </si>
  <si>
    <t xml:space="preserve">RG-14</t>
  </si>
  <si>
    <t xml:space="preserve">Le mode fantôme (global ou ciblé) est toujours disponible et indétectable par l'autre, sauf pour un électron mineur vis-à-vis de son Atome.</t>
  </si>
  <si>
    <t xml:space="preserve">Non désactivable entre Sangs.</t>
  </si>
  <si>
    <t xml:space="preserve">RG-15</t>
  </si>
  <si>
    <t xml:space="preserve">La précision la plus restrictive s'applique (réglage global vs réglage par personne).</t>
  </si>
  <si>
    <t xml:space="preserve">RG-16</t>
  </si>
  <si>
    <t xml:space="preserve">Consultations répétées au-delà d'un seuil : message discret à la personne observée uniquement.</t>
  </si>
  <si>
    <t xml:space="preserve">Détection de contrôle.</t>
  </si>
  <si>
    <t xml:space="preserve">RG-17</t>
  </si>
  <si>
    <t xml:space="preserve">Qui commente mes posts : relayé aux Proches et au-dessus. Mes commentaires ailleurs : relayés aux Sangs seulement. Les Amis ne voient ni l'un ni l'autre. Toujours limité à ce que l'observateur peut déjà voir ; jamais de DM ni de contenu privé de tiers.</t>
  </si>
  <si>
    <t xml:space="preserve">Protège les tiers non consentants.</t>
  </si>
  <si>
    <t xml:space="preserve">RG-18</t>
  </si>
  <si>
    <t xml:space="preserve">Posts</t>
  </si>
  <si>
    <t xml:space="preserve">Un contenu ne peut être repartagé qu'à une audience inférieure ou égale ; les contenus Sang/Atome ne sont jamais repartageables.</t>
  </si>
  <si>
    <t xml:space="preserve">RG-19</t>
  </si>
  <si>
    <t xml:space="preserve">Contextes</t>
  </si>
  <si>
    <t xml:space="preserve">Les étiquettes (Projet, École, Famille…) sont cumulables avec tout niveau et ne débloquent aucun droit de proximité.</t>
  </si>
  <si>
    <t xml:space="preserve">Exception : Famille vérifiée pour les mineurs.</t>
  </si>
  <si>
    <t xml:space="preserve">RG-20</t>
  </si>
  <si>
    <t xml:space="preserve">Mineurs</t>
  </si>
  <si>
    <t xml:space="preserve">Pas de Sang entre un mineur et un majeur hors famille vérifiée ; l'Atome d'un mineur est un parent/tuteur vérifié ; position des mineurs temporaire hors famille.</t>
  </si>
  <si>
    <t xml:space="preserve">Exigence de sécurité et réglementaire.</t>
  </si>
  <si>
    <t xml:space="preserve">RG-21</t>
  </si>
  <si>
    <t xml:space="preserve">Profil d'un mineur masqué au Public par défaut ; messages venant du Public bloqués.</t>
  </si>
  <si>
    <t xml:space="preserve">RG-22</t>
  </si>
  <si>
    <t xml:space="preserve">Groupes</t>
  </si>
  <si>
    <t xml:space="preserve">Un groupe ne débloque aucun droit : les droits entre deux membres restent ceux de leur lien 1:1.</t>
  </si>
  <si>
    <t xml:space="preserve">RG-23</t>
  </si>
  <si>
    <t xml:space="preserve">Config</t>
  </si>
  <si>
    <t xml:space="preserve">Noms, icônes, plafonds, anciennetés et seuils viennent d'une configuration localisable, jamais du code.</t>
  </si>
  <si>
    <t xml:space="preserve">Permet l'adaptation par pays/langue.</t>
  </si>
  <si>
    <t xml:space="preserve">RG-25</t>
  </si>
  <si>
    <t xml:space="preserve">Visibilité</t>
  </si>
  <si>
    <t xml:space="preserve">Ami : présence « en ligne » ou rien, niveau, nomination et rang. Proche : présence détaillée, étincelles, gloire, notifications de mes posts, qui commente mes posts, talkie, catégorie de ce que j'écoute/regarde, Bring si autorisé. Sang : en plus titre et origine de l'écoute, mes commentaires ailleurs, position, historique, proximité.</t>
  </si>
  <si>
    <t xml:space="preserve">RG-26</t>
  </si>
  <si>
    <t xml:space="preserve">Talkie</t>
  </si>
  <si>
    <t xml:space="preserve">Dès le niveau Proche, la parole est jouée directement sur le haut-parleur sans décrocher, avec ou sans le framework PushToTalk d'iOS ; réception désactivable par personne, bascule sur écouteurs si connectés, coupée en appel / Ne pas déranger / heures calmes.</t>
  </si>
  <si>
    <t xml:space="preserve">MVP, à valider par tests réels (onglet Tests talkie).</t>
  </si>
  <si>
    <t xml:space="preserve">RG-27</t>
  </si>
  <si>
    <t xml:space="preserve">Proximité</t>
  </si>
  <si>
    <t xml:space="preserve">Alerte de proximité entre Sangs : envoyée aux deux, une fois max par paire toutes les 2 h, jamais si l'un est en fantôme.</t>
  </si>
  <si>
    <t xml:space="preserve">Rayon par défaut à définir en test (ex. 200 m).</t>
  </si>
  <si>
    <t xml:space="preserve">RG-28</t>
  </si>
  <si>
    <t xml:space="preserve">Jeu</t>
  </si>
  <si>
    <t xml:space="preserve">La visibilité du jeu suit toujours le cercle : visibilité servie = minimum(réglage du jeu, droits du cercle).</t>
  </si>
  <si>
    <t xml:space="preserve">Le réglage du jeu ne peut jamais ouvrir plus que le cercle.</t>
  </si>
  <si>
    <t xml:space="preserve">RG-29</t>
  </si>
  <si>
    <t xml:space="preserve">Bring</t>
  </si>
  <si>
    <t xml:space="preserve">Le Bring joue un son sur l'appareil de l'autre (premier plan ou arrière-plan), distinct d'une notification ; seulement si l'autre l'a autorisé pour cette personne ; 3 par heure max par expéditeur.</t>
  </si>
  <si>
    <t xml:space="preserve">Proche et au-dessus.</t>
  </si>
  <si>
    <t xml:space="preserve">RG-30</t>
  </si>
  <si>
    <t xml:space="preserve">Écoute</t>
  </si>
  <si>
    <t xml:space="preserve">« Ce que X écoute / regarde » : un Proche reçoit seulement la catégorie (musique, vidéo, navigation), un Sang le titre et son origine (app), en temps réel ; la précision est tronquée côté serveur ; le web reçoit sans transmettre ; ce qu'une plateforme ne permet pas de lire est affiché comme indisponible, jamais simulé.</t>
  </si>
  <si>
    <t xml:space="preserve">RG-31</t>
  </si>
  <si>
    <t xml:space="preserve">Les notifications de nouveaux posts, reels, stories et moods partent aux Proches et au-dessus ; les Amis voient ces contenus dans le fil sans notification.</t>
  </si>
  <si>
    <t xml:space="preserve">Audience de fan-out existante restreinte.</t>
  </si>
  <si>
    <t xml:space="preserve">RG-24</t>
  </si>
  <si>
    <t xml:space="preserve">Le SOS force un partage live de 1 h vers les Sangs et l'Atome, même si les partages étaient coupés, sauf vers une personne bloquée.</t>
  </si>
  <si>
    <t xml:space="preserve">Synthèse (calculée depuis l'onglet Features)</t>
  </si>
  <si>
    <t xml:space="preserve">Nb features</t>
  </si>
  <si>
    <t xml:space="preserve">Total</t>
  </si>
  <si>
    <t xml:space="preserve">Accessible (total hors Non)</t>
  </si>
  <si>
    <t xml:space="preserve">Scénario</t>
  </si>
  <si>
    <t xml:space="preserve">Conditions</t>
  </si>
  <si>
    <t xml:space="preserve">Résultat attendu</t>
  </si>
  <si>
    <t xml:space="preserve">Critère de réussite</t>
  </si>
  <si>
    <t xml:space="preserve">iOS</t>
  </si>
  <si>
    <t xml:space="preserve">Android</t>
  </si>
  <si>
    <t xml:space="preserve">Résultat</t>
  </si>
  <si>
    <t xml:space="preserve">Notes</t>
  </si>
  <si>
    <t xml:space="preserve">TK-01</t>
  </si>
  <si>
    <t xml:space="preserve">Appli ouverte</t>
  </si>
  <si>
    <t xml:space="preserve">Les deux en Wi-Fi, appli au premier plan.</t>
  </si>
  <si>
    <t xml:space="preserve">La voix sort immédiatement sur le haut-parleur.</t>
  </si>
  <si>
    <t xml:space="preserve">Latence &lt; 500 ms</t>
  </si>
  <si>
    <t xml:space="preserve">TK-02</t>
  </si>
  <si>
    <t xml:space="preserve">Appli en arrière-plan</t>
  </si>
  <si>
    <t xml:space="preserve">Récepteur sur une autre appli.</t>
  </si>
  <si>
    <t xml:space="preserve">La voix est jouée sans ouvrir Meeshy.</t>
  </si>
  <si>
    <t xml:space="preserve">Latence &lt; 1 s</t>
  </si>
  <si>
    <t xml:space="preserve">TK-03</t>
  </si>
  <si>
    <t xml:space="preserve">Téléphone verrouillé</t>
  </si>
  <si>
    <t xml:space="preserve">Écran éteint depuis plus de 10 min.</t>
  </si>
  <si>
    <t xml:space="preserve">La voix est jouée ; indicateur sur l'écran verrouillé.</t>
  </si>
  <si>
    <t xml:space="preserve">Réception 10/10 essais</t>
  </si>
  <si>
    <t xml:space="preserve">TK-04</t>
  </si>
  <si>
    <t xml:space="preserve">Appli fermée (tuée)</t>
  </si>
  <si>
    <t xml:space="preserve">Appli balayée hors du multitâche.</t>
  </si>
  <si>
    <t xml:space="preserve">Réception via PushToTalk (iOS) / service au premier plan (Android), ou message vocal de repli.</t>
  </si>
  <si>
    <t xml:space="preserve">Comportement documenté</t>
  </si>
  <si>
    <t xml:space="preserve">TK-05</t>
  </si>
  <si>
    <t xml:space="preserve">Réseau 4G / 5G</t>
  </si>
  <si>
    <t xml:space="preserve">Les deux en données mobiles.</t>
  </si>
  <si>
    <t xml:space="preserve">Voix claire.</t>
  </si>
  <si>
    <t xml:space="preserve">TK-06</t>
  </si>
  <si>
    <t xml:space="preserve">Réseau faible / bascule</t>
  </si>
  <si>
    <t xml:space="preserve">Passage Wi-Fi → 4G pendant l'envoi.</t>
  </si>
  <si>
    <t xml:space="preserve">Pas de coupure ou reprise automatique.</t>
  </si>
  <si>
    <t xml:space="preserve">Aucun message perdu</t>
  </si>
  <si>
    <t xml:space="preserve">TK-07</t>
  </si>
  <si>
    <t xml:space="preserve">Écouteurs / Bluetooth</t>
  </si>
  <si>
    <t xml:space="preserve">Récepteur avec écouteurs connectés.</t>
  </si>
  <si>
    <t xml:space="preserve">Audio dans les écouteurs, pas sur le haut-parleur.</t>
  </si>
  <si>
    <t xml:space="preserve">10/10</t>
  </si>
  <si>
    <t xml:space="preserve">TK-08</t>
  </si>
  <si>
    <t xml:space="preserve">En appel</t>
  </si>
  <si>
    <t xml:space="preserve">Récepteur en appel téléphonique ou Meeshy.</t>
  </si>
  <si>
    <t xml:space="preserve">Pas de lecture directe ; message vocal mis en attente.</t>
  </si>
  <si>
    <t xml:space="preserve">Aucune interruption de l'appel</t>
  </si>
  <si>
    <t xml:space="preserve">TK-09</t>
  </si>
  <si>
    <t xml:space="preserve">Ne pas déranger / heures calmes</t>
  </si>
  <si>
    <t xml:space="preserve">Mode activé chez le récepteur.</t>
  </si>
  <si>
    <t xml:space="preserve">Pas de lecture directe ; vocal en attente.</t>
  </si>
  <si>
    <t xml:space="preserve">TK-10</t>
  </si>
  <si>
    <t xml:space="preserve">Réception désactivée</t>
  </si>
  <si>
    <t xml:space="preserve">Le récepteur a coupé la réception directe pour cet expéditeur.</t>
  </si>
  <si>
    <t xml:space="preserve">Arrive comme un message vocal classique.</t>
  </si>
  <si>
    <t xml:space="preserve">TK-11</t>
  </si>
  <si>
    <t xml:space="preserve">Niveau insuffisant</t>
  </si>
  <si>
    <t xml:space="preserve">L'expéditeur est Ami ou a été rétrogradé sous Proche.</t>
  </si>
  <si>
    <t xml:space="preserve">Talkie indisponible côté expéditeur.</t>
  </si>
  <si>
    <t xml:space="preserve">Refus côté serveur</t>
  </si>
  <si>
    <t xml:space="preserve">TK-12</t>
  </si>
  <si>
    <t xml:space="preserve">Blocage en cours</t>
  </si>
  <si>
    <t xml:space="preserve">Le récepteur bloque pendant une transmission.</t>
  </si>
  <si>
    <t xml:space="preserve">Coupure immédiate.</t>
  </si>
  <si>
    <t xml:space="preserve">&lt; 1 s</t>
  </si>
  <si>
    <t xml:space="preserve">TK-13</t>
  </si>
  <si>
    <t xml:space="preserve">Deux qui parlent en même temps</t>
  </si>
  <si>
    <t xml:space="preserve">Les deux appuient simultanément.</t>
  </si>
  <si>
    <t xml:space="preserve">Règle claire : premier arrivé ou mode duplex.</t>
  </si>
  <si>
    <t xml:space="preserve">Pas de son corrompu</t>
  </si>
  <si>
    <t xml:space="preserve">TK-14</t>
  </si>
  <si>
    <t xml:space="preserve">Volume / mode silencieux</t>
  </si>
  <si>
    <t xml:space="preserve">Téléphone en silencieux, volume bas.</t>
  </si>
  <si>
    <t xml:space="preserve">Comportement défini (joué ou non) et constant.</t>
  </si>
  <si>
    <t xml:space="preserve">Conforme à la règle choisie</t>
  </si>
  <si>
    <t xml:space="preserve">TK-15</t>
  </si>
  <si>
    <t xml:space="preserve">Batterie</t>
  </si>
  <si>
    <t xml:space="preserve">Talkie actif 8 h en arrière-plan.</t>
  </si>
  <si>
    <t xml:space="preserve">Consommation acceptable.</t>
  </si>
  <si>
    <t xml:space="preserve">&lt; 5 % de batterie / 8 h au repos</t>
  </si>
  <si>
    <t xml:space="preserve">TK-16</t>
  </si>
  <si>
    <t xml:space="preserve">Plusieurs Sangs</t>
  </si>
  <si>
    <t xml:space="preserve">3 Sangs envoient à la suite.</t>
  </si>
  <si>
    <t xml:space="preserve">Lecture en file, nom annoncé avant chaque message.</t>
  </si>
  <si>
    <t xml:space="preserve">Ordre respecté</t>
  </si>
  <si>
    <t xml:space="preserve">TK-17</t>
  </si>
  <si>
    <t xml:space="preserve">Indicateur et vie privée</t>
  </si>
  <si>
    <t xml:space="preserve">Transmission en cours.</t>
  </si>
  <si>
    <t xml:space="preserve">Indicateur visible chez l'expéditeur et le récepteur.</t>
  </si>
  <si>
    <t xml:space="preserve">Toujours affiché</t>
  </si>
  <si>
    <t xml:space="preserve">TK-18</t>
  </si>
  <si>
    <t xml:space="preserve">Électron mineur, talkie activé par l'Atome.</t>
  </si>
  <si>
    <t xml:space="preserve">Fonctionne seulement avec l'Atome et les Proches/Sangs autorisés.</t>
  </si>
  <si>
    <t xml:space="preserve">Refus pour les autres</t>
  </si>
  <si>
    <t xml:space="preserve">Remplir les colonnes iOS, Android et Résultat (liste : OK / KO / Partiel / À tester). Les seuils de latence et de batterie sont des cibles proposées, à ajuster.</t>
  </si>
  <si>
    <t xml:space="preserve">Tests 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</si>
</sst>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2F2F2"/>
        <bgColor rgb="FFE3ECF7"/>
      </patternFill>
    </fill>
    <fill>
      <patternFill patternType="solid">
        <fgColor rgb="FFE3ECF7"/>
        <bgColor rgb="FFDDEBF7"/>
      </patternFill>
    </fill>
    <fill>
      <patternFill patternType="solid">
        <fgColor rgb="FFDCEFE3"/>
        <bgColor rgb="FFDDEBF7"/>
      </patternFill>
    </fill>
    <fill>
      <patternFill patternType="solid">
        <fgColor rgb="FFFFF3D6"/>
        <bgColor rgb="FFFFF2CC"/>
      </patternFill>
    </fill>
    <fill>
      <patternFill patternType="solid">
        <fgColor rgb="FFFFE0CC"/>
        <bgColor rgb="FFFCE4D6"/>
      </patternFill>
    </fill>
    <fill>
      <patternFill patternType="solid">
        <fgColor rgb="FFF8D0D0"/>
        <bgColor rgb="FFF8CBAD"/>
      </patternFill>
    </fill>
    <fill>
      <patternFill patternType="solid">
        <fgColor rgb="FFE5D9F7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DC"/>
      </left>
      <right style="thin">
        <color rgb="FFD0D4DC"/>
      </right>
      <top style="thin">
        <color rgb="FFD0D4DC"/>
      </top>
      <bottom style="thin">
        <color rgb="FFD0D4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2A44"/>
          <bgColor rgb="FF000000"/>
        </patternFill>
      </fill>
    </dxf>
    <dxf>
      <fill>
        <patternFill patternType="solid">
          <fgColor rgb="FFDCEFE3"/>
          <bgColor rgb="FF000000"/>
        </patternFill>
      </fill>
    </dxf>
    <dxf>
      <fill>
        <patternFill patternType="solid">
          <fgColor rgb="FFE3ECF7"/>
          <bgColor rgb="FF000000"/>
        </patternFill>
      </fill>
    </dxf>
    <dxf>
      <fill>
        <patternFill patternType="solid">
          <fgColor rgb="FFE5D9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D0D0"/>
          <bgColor rgb="FF000000"/>
        </patternFill>
      </fill>
    </dxf>
    <dxf>
      <fill>
        <patternFill patternType="solid">
          <fgColor rgb="FFFFE0CC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2F2F2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D9F7"/>
      <rgbColor rgb="FF808080"/>
      <rgbColor rgb="FF9999FF"/>
      <rgbColor rgb="FF993366"/>
      <rgbColor rgb="FFFFF3D6"/>
      <rgbColor rgb="FFDCEFE3"/>
      <rgbColor rgb="FF660066"/>
      <rgbColor rgb="FFFF8080"/>
      <rgbColor rgb="FF0066CC"/>
      <rgbColor rgb="FFD0D4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F2CC"/>
      <rgbColor rgb="FFE3ECF7"/>
      <rgbColor rgb="FFF8D0D0"/>
      <rgbColor rgb="FFFFE0CC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</row>
    <row r="7" customFormat="false" ht="15" hidden="false" customHeight="false" outlineLevel="0" collapsed="false">
      <c r="A7" s="5" t="s">
        <v>8</v>
      </c>
      <c r="B7" s="6" t="s">
        <v>9</v>
      </c>
    </row>
    <row r="8" customFormat="false" ht="15" hidden="false" customHeight="false" outlineLevel="0" collapsed="false">
      <c r="A8" s="5" t="s">
        <v>10</v>
      </c>
      <c r="B8" s="6" t="s">
        <v>11</v>
      </c>
    </row>
    <row r="9" customFormat="false" ht="15" hidden="false" customHeight="false" outlineLevel="0" collapsed="false">
      <c r="A9" s="5" t="s">
        <v>12</v>
      </c>
      <c r="B9" s="6" t="s">
        <v>13</v>
      </c>
    </row>
    <row r="10" customFormat="false" ht="15" hidden="false" customHeight="false" outlineLevel="0" collapsed="false">
      <c r="A10" s="7"/>
      <c r="B10" s="6"/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5" t="s">
        <v>16</v>
      </c>
      <c r="B12" s="6" t="s">
        <v>17</v>
      </c>
    </row>
    <row r="13" customFormat="false" ht="15" hidden="false" customHeight="false" outlineLevel="0" collapsed="false">
      <c r="A13" s="5" t="s">
        <v>18</v>
      </c>
      <c r="B13" s="6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1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7"/>
      <c r="B17" s="6"/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23.85" hidden="false" customHeight="false" outlineLevel="0" collapsed="false">
      <c r="A19" s="5" t="s">
        <v>28</v>
      </c>
      <c r="B19" s="6" t="s">
        <v>29</v>
      </c>
    </row>
    <row r="20" customFormat="false" ht="15" hidden="false" customHeight="false" outlineLevel="0" collapsed="false">
      <c r="A20" s="5" t="s">
        <v>30</v>
      </c>
      <c r="B20" s="6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22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36"/>
    <col collapsed="false" customWidth="true" hidden="false" outlineLevel="0" max="12" min="12" style="0" width="42"/>
  </cols>
  <sheetData>
    <row r="1" customFormat="false" ht="31.5" hidden="false" customHeight="true" outlineLevel="0" collapsed="false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</row>
    <row r="2" customFormat="false" ht="23.85" hidden="false" customHeight="false" outlineLevel="0" collapsed="false">
      <c r="A2" s="9" t="n">
        <v>0</v>
      </c>
      <c r="B2" s="10" t="s">
        <v>44</v>
      </c>
      <c r="C2" s="11" t="s">
        <v>45</v>
      </c>
      <c r="D2" s="12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2" t="s">
        <v>51</v>
      </c>
      <c r="J2" s="10" t="s">
        <v>52</v>
      </c>
      <c r="K2" s="10" t="s">
        <v>52</v>
      </c>
      <c r="L2" s="10" t="s">
        <v>53</v>
      </c>
    </row>
    <row r="3" customFormat="false" ht="23.85" hidden="false" customHeight="false" outlineLevel="0" collapsed="false">
      <c r="A3" s="13" t="n">
        <v>1</v>
      </c>
      <c r="B3" s="14" t="s">
        <v>54</v>
      </c>
      <c r="C3" s="15" t="s">
        <v>55</v>
      </c>
      <c r="D3" s="16" t="s">
        <v>56</v>
      </c>
      <c r="E3" s="14" t="s">
        <v>57</v>
      </c>
      <c r="F3" s="14" t="s">
        <v>58</v>
      </c>
      <c r="G3" s="14" t="s">
        <v>59</v>
      </c>
      <c r="H3" s="14" t="s">
        <v>60</v>
      </c>
      <c r="I3" s="16" t="s">
        <v>51</v>
      </c>
      <c r="J3" s="14" t="s">
        <v>52</v>
      </c>
      <c r="K3" s="14" t="s">
        <v>61</v>
      </c>
      <c r="L3" s="14" t="s">
        <v>62</v>
      </c>
    </row>
    <row r="4" customFormat="false" ht="57.45" hidden="false" customHeight="false" outlineLevel="0" collapsed="false">
      <c r="A4" s="17" t="n">
        <v>2</v>
      </c>
      <c r="B4" s="18" t="s">
        <v>63</v>
      </c>
      <c r="C4" s="19" t="s">
        <v>64</v>
      </c>
      <c r="D4" s="20" t="s">
        <v>65</v>
      </c>
      <c r="E4" s="18" t="s">
        <v>66</v>
      </c>
      <c r="F4" s="18" t="s">
        <v>67</v>
      </c>
      <c r="G4" s="18" t="s">
        <v>68</v>
      </c>
      <c r="H4" s="18" t="s">
        <v>69</v>
      </c>
      <c r="I4" s="20" t="s">
        <v>51</v>
      </c>
      <c r="J4" s="18" t="s">
        <v>70</v>
      </c>
      <c r="K4" s="18" t="s">
        <v>71</v>
      </c>
      <c r="L4" s="18" t="s">
        <v>72</v>
      </c>
    </row>
    <row r="5" customFormat="false" ht="46.25" hidden="false" customHeight="false" outlineLevel="0" collapsed="false">
      <c r="A5" s="21" t="n">
        <v>3</v>
      </c>
      <c r="B5" s="22" t="s">
        <v>73</v>
      </c>
      <c r="C5" s="23" t="s">
        <v>74</v>
      </c>
      <c r="D5" s="24" t="s">
        <v>75</v>
      </c>
      <c r="E5" s="22" t="s">
        <v>76</v>
      </c>
      <c r="F5" s="22" t="s">
        <v>77</v>
      </c>
      <c r="G5" s="22" t="s">
        <v>78</v>
      </c>
      <c r="H5" s="22" t="s">
        <v>79</v>
      </c>
      <c r="I5" s="24" t="s">
        <v>51</v>
      </c>
      <c r="J5" s="22" t="s">
        <v>80</v>
      </c>
      <c r="K5" s="22" t="s">
        <v>81</v>
      </c>
      <c r="L5" s="22" t="s">
        <v>82</v>
      </c>
    </row>
    <row r="6" customFormat="false" ht="57.45" hidden="false" customHeight="false" outlineLevel="0" collapsed="false">
      <c r="A6" s="25" t="n">
        <v>4</v>
      </c>
      <c r="B6" s="26" t="s">
        <v>83</v>
      </c>
      <c r="C6" s="27" t="s">
        <v>84</v>
      </c>
      <c r="D6" s="28" t="s">
        <v>85</v>
      </c>
      <c r="E6" s="26" t="s">
        <v>86</v>
      </c>
      <c r="F6" s="26" t="s">
        <v>87</v>
      </c>
      <c r="G6" s="26" t="s">
        <v>88</v>
      </c>
      <c r="H6" s="26" t="s">
        <v>89</v>
      </c>
      <c r="I6" s="28" t="s">
        <v>51</v>
      </c>
      <c r="J6" s="26" t="s">
        <v>90</v>
      </c>
      <c r="K6" s="26" t="s">
        <v>91</v>
      </c>
      <c r="L6" s="26" t="s">
        <v>92</v>
      </c>
    </row>
    <row r="7" customFormat="false" ht="57.45" hidden="false" customHeight="false" outlineLevel="0" collapsed="false">
      <c r="A7" s="29" t="n">
        <v>5</v>
      </c>
      <c r="B7" s="30" t="s">
        <v>93</v>
      </c>
      <c r="C7" s="31" t="s">
        <v>94</v>
      </c>
      <c r="D7" s="32" t="s">
        <v>95</v>
      </c>
      <c r="E7" s="30" t="s">
        <v>96</v>
      </c>
      <c r="F7" s="30" t="s">
        <v>97</v>
      </c>
      <c r="G7" s="30" t="s">
        <v>98</v>
      </c>
      <c r="H7" s="30" t="s">
        <v>99</v>
      </c>
      <c r="I7" s="32" t="s">
        <v>51</v>
      </c>
      <c r="J7" s="30" t="s">
        <v>100</v>
      </c>
      <c r="K7" s="30" t="s">
        <v>101</v>
      </c>
      <c r="L7" s="30" t="s">
        <v>102</v>
      </c>
    </row>
    <row r="8" customFormat="false" ht="57.45" hidden="false" customHeight="false" outlineLevel="0" collapsed="false">
      <c r="A8" s="33" t="n">
        <v>6</v>
      </c>
      <c r="B8" s="34" t="s">
        <v>103</v>
      </c>
      <c r="C8" s="35" t="s">
        <v>104</v>
      </c>
      <c r="D8" s="36" t="s">
        <v>105</v>
      </c>
      <c r="E8" s="34" t="s">
        <v>106</v>
      </c>
      <c r="F8" s="34" t="s">
        <v>107</v>
      </c>
      <c r="G8" s="34" t="s">
        <v>108</v>
      </c>
      <c r="H8" s="34" t="s">
        <v>109</v>
      </c>
      <c r="I8" s="36" t="s">
        <v>110</v>
      </c>
      <c r="J8" s="34" t="s">
        <v>52</v>
      </c>
      <c r="K8" s="34" t="s">
        <v>111</v>
      </c>
      <c r="L8" s="34" t="s">
        <v>112</v>
      </c>
    </row>
  </sheetData>
  <autoFilter ref="A1:L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6" min="5" style="0" width="44"/>
    <col collapsed="false" customWidth="true" hidden="false" outlineLevel="0" max="8" min="7" style="0" width="14"/>
    <col collapsed="false" customWidth="true" hidden="false" outlineLevel="0" max="9" min="9" style="0" width="26"/>
    <col collapsed="false" customWidth="true" hidden="false" outlineLevel="0" max="10" min="10" style="0" width="9"/>
    <col collapsed="false" customWidth="true" hidden="false" outlineLevel="0" max="17" min="11" style="0" width="12"/>
    <col collapsed="false" customWidth="true" hidden="false" outlineLevel="0" max="18" min="18" style="0" width="16"/>
  </cols>
  <sheetData>
    <row r="1" customFormat="false" ht="31.5" hidden="false" customHeight="true" outlineLevel="0" collapsed="false">
      <c r="A1" s="8" t="s">
        <v>113</v>
      </c>
      <c r="B1" s="8" t="s">
        <v>114</v>
      </c>
      <c r="C1" s="8" t="s">
        <v>115</v>
      </c>
      <c r="D1" s="8" t="s">
        <v>116</v>
      </c>
      <c r="E1" s="8" t="s">
        <v>117</v>
      </c>
      <c r="F1" s="8" t="s">
        <v>118</v>
      </c>
      <c r="G1" s="8" t="s">
        <v>119</v>
      </c>
      <c r="H1" s="8" t="s">
        <v>120</v>
      </c>
      <c r="I1" s="8" t="s">
        <v>43</v>
      </c>
      <c r="J1" s="8" t="s">
        <v>28</v>
      </c>
      <c r="K1" s="8" t="s">
        <v>121</v>
      </c>
      <c r="L1" s="8" t="s">
        <v>122</v>
      </c>
      <c r="M1" s="8" t="s">
        <v>123</v>
      </c>
      <c r="N1" s="8" t="s">
        <v>124</v>
      </c>
      <c r="O1" s="8" t="s">
        <v>125</v>
      </c>
      <c r="P1" s="8" t="s">
        <v>126</v>
      </c>
      <c r="Q1" s="8" t="s">
        <v>127</v>
      </c>
      <c r="R1" s="8" t="s">
        <v>26</v>
      </c>
    </row>
    <row r="2" customFormat="false" ht="23.85" hidden="false" customHeight="false" outlineLevel="0" collapsed="false">
      <c r="A2" s="37" t="s">
        <v>128</v>
      </c>
      <c r="B2" s="37" t="s">
        <v>129</v>
      </c>
      <c r="C2" s="38" t="s">
        <v>130</v>
      </c>
      <c r="D2" s="37" t="s">
        <v>131</v>
      </c>
      <c r="E2" s="37" t="s">
        <v>132</v>
      </c>
      <c r="F2" s="37" t="s">
        <v>133</v>
      </c>
      <c r="G2" s="39" t="s">
        <v>134</v>
      </c>
      <c r="H2" s="39" t="s">
        <v>52</v>
      </c>
      <c r="I2" s="37" t="s">
        <v>135</v>
      </c>
      <c r="J2" s="39" t="s">
        <v>136</v>
      </c>
      <c r="K2" s="39" t="s">
        <v>16</v>
      </c>
      <c r="L2" s="39" t="s">
        <v>16</v>
      </c>
      <c r="M2" s="39" t="s">
        <v>16</v>
      </c>
      <c r="N2" s="39" t="s">
        <v>16</v>
      </c>
      <c r="O2" s="39" t="s">
        <v>16</v>
      </c>
      <c r="P2" s="39" t="s">
        <v>16</v>
      </c>
      <c r="Q2" s="39" t="s">
        <v>16</v>
      </c>
      <c r="R2" s="39" t="s">
        <v>137</v>
      </c>
    </row>
    <row r="3" customFormat="false" ht="15" hidden="false" customHeight="false" outlineLevel="0" collapsed="false">
      <c r="A3" s="37" t="s">
        <v>138</v>
      </c>
      <c r="B3" s="37" t="s">
        <v>129</v>
      </c>
      <c r="C3" s="38" t="s">
        <v>139</v>
      </c>
      <c r="D3" s="37" t="s">
        <v>140</v>
      </c>
      <c r="E3" s="37" t="s">
        <v>141</v>
      </c>
      <c r="F3" s="37" t="s">
        <v>142</v>
      </c>
      <c r="G3" s="39" t="s">
        <v>143</v>
      </c>
      <c r="H3" s="39" t="s">
        <v>24</v>
      </c>
      <c r="I3" s="37" t="s">
        <v>52</v>
      </c>
      <c r="J3" s="39" t="s">
        <v>144</v>
      </c>
      <c r="K3" s="39" t="s">
        <v>18</v>
      </c>
      <c r="L3" s="39" t="s">
        <v>18</v>
      </c>
      <c r="M3" s="39" t="s">
        <v>18</v>
      </c>
      <c r="N3" s="39" t="s">
        <v>18</v>
      </c>
      <c r="O3" s="39" t="s">
        <v>18</v>
      </c>
      <c r="P3" s="39" t="s">
        <v>18</v>
      </c>
      <c r="Q3" s="39" t="s">
        <v>18</v>
      </c>
      <c r="R3" s="39" t="s">
        <v>145</v>
      </c>
    </row>
    <row r="4" customFormat="false" ht="15" hidden="false" customHeight="false" outlineLevel="0" collapsed="false">
      <c r="A4" s="37" t="s">
        <v>146</v>
      </c>
      <c r="B4" s="37" t="s">
        <v>129</v>
      </c>
      <c r="C4" s="38" t="s">
        <v>147</v>
      </c>
      <c r="D4" s="37" t="s">
        <v>148</v>
      </c>
      <c r="E4" s="37" t="s">
        <v>149</v>
      </c>
      <c r="F4" s="37" t="s">
        <v>150</v>
      </c>
      <c r="G4" s="39" t="s">
        <v>134</v>
      </c>
      <c r="H4" s="39" t="s">
        <v>24</v>
      </c>
      <c r="I4" s="37" t="s">
        <v>52</v>
      </c>
      <c r="J4" s="39" t="s">
        <v>136</v>
      </c>
      <c r="K4" s="39" t="s">
        <v>24</v>
      </c>
      <c r="L4" s="39" t="s">
        <v>18</v>
      </c>
      <c r="M4" s="39" t="s">
        <v>18</v>
      </c>
      <c r="N4" s="39" t="s">
        <v>16</v>
      </c>
      <c r="O4" s="39" t="s">
        <v>16</v>
      </c>
      <c r="P4" s="39" t="s">
        <v>16</v>
      </c>
      <c r="Q4" s="39" t="s">
        <v>16</v>
      </c>
      <c r="R4" s="39" t="s">
        <v>145</v>
      </c>
    </row>
    <row r="5" customFormat="false" ht="23.85" hidden="false" customHeight="false" outlineLevel="0" collapsed="false">
      <c r="A5" s="37" t="s">
        <v>151</v>
      </c>
      <c r="B5" s="37" t="s">
        <v>129</v>
      </c>
      <c r="C5" s="38" t="s">
        <v>152</v>
      </c>
      <c r="D5" s="37" t="s">
        <v>153</v>
      </c>
      <c r="E5" s="37" t="s">
        <v>154</v>
      </c>
      <c r="F5" s="37" t="s">
        <v>155</v>
      </c>
      <c r="G5" s="39" t="s">
        <v>134</v>
      </c>
      <c r="H5" s="39" t="s">
        <v>52</v>
      </c>
      <c r="I5" s="37" t="s">
        <v>52</v>
      </c>
      <c r="J5" s="39" t="s">
        <v>136</v>
      </c>
      <c r="K5" s="39" t="s">
        <v>24</v>
      </c>
      <c r="L5" s="39" t="s">
        <v>24</v>
      </c>
      <c r="M5" s="39" t="s">
        <v>16</v>
      </c>
      <c r="N5" s="39" t="s">
        <v>16</v>
      </c>
      <c r="O5" s="39" t="s">
        <v>16</v>
      </c>
      <c r="P5" s="39" t="s">
        <v>16</v>
      </c>
      <c r="Q5" s="39" t="s">
        <v>16</v>
      </c>
      <c r="R5" s="39" t="s">
        <v>145</v>
      </c>
    </row>
    <row r="6" customFormat="false" ht="23.85" hidden="false" customHeight="false" outlineLevel="0" collapsed="false">
      <c r="A6" s="37" t="s">
        <v>156</v>
      </c>
      <c r="B6" s="37" t="s">
        <v>129</v>
      </c>
      <c r="C6" s="38" t="s">
        <v>157</v>
      </c>
      <c r="D6" s="37" t="s">
        <v>158</v>
      </c>
      <c r="E6" s="37" t="s">
        <v>159</v>
      </c>
      <c r="F6" s="37" t="s">
        <v>160</v>
      </c>
      <c r="G6" s="39" t="s">
        <v>143</v>
      </c>
      <c r="H6" s="39" t="s">
        <v>161</v>
      </c>
      <c r="I6" s="37" t="s">
        <v>52</v>
      </c>
      <c r="J6" s="39" t="s">
        <v>144</v>
      </c>
      <c r="K6" s="39" t="s">
        <v>24</v>
      </c>
      <c r="L6" s="39" t="s">
        <v>24</v>
      </c>
      <c r="M6" s="39" t="s">
        <v>18</v>
      </c>
      <c r="N6" s="39" t="s">
        <v>18</v>
      </c>
      <c r="O6" s="39" t="s">
        <v>18</v>
      </c>
      <c r="P6" s="39" t="s">
        <v>18</v>
      </c>
      <c r="Q6" s="39" t="s">
        <v>16</v>
      </c>
      <c r="R6" s="39" t="s">
        <v>145</v>
      </c>
    </row>
    <row r="7" customFormat="false" ht="23.85" hidden="false" customHeight="false" outlineLevel="0" collapsed="false">
      <c r="A7" s="37" t="s">
        <v>162</v>
      </c>
      <c r="B7" s="37" t="s">
        <v>129</v>
      </c>
      <c r="C7" s="38" t="s">
        <v>163</v>
      </c>
      <c r="D7" s="37" t="s">
        <v>164</v>
      </c>
      <c r="E7" s="37" t="s">
        <v>165</v>
      </c>
      <c r="F7" s="37" t="s">
        <v>166</v>
      </c>
      <c r="G7" s="39" t="s">
        <v>134</v>
      </c>
      <c r="H7" s="39" t="s">
        <v>52</v>
      </c>
      <c r="I7" s="37" t="s">
        <v>52</v>
      </c>
      <c r="J7" s="39" t="s">
        <v>136</v>
      </c>
      <c r="K7" s="39" t="s">
        <v>16</v>
      </c>
      <c r="L7" s="39" t="s">
        <v>16</v>
      </c>
      <c r="M7" s="39" t="s">
        <v>16</v>
      </c>
      <c r="N7" s="39" t="s">
        <v>16</v>
      </c>
      <c r="O7" s="39" t="s">
        <v>16</v>
      </c>
      <c r="P7" s="39" t="s">
        <v>16</v>
      </c>
      <c r="Q7" s="39" t="s">
        <v>16</v>
      </c>
      <c r="R7" s="39" t="s">
        <v>145</v>
      </c>
    </row>
    <row r="8" customFormat="false" ht="23.85" hidden="false" customHeight="false" outlineLevel="0" collapsed="false">
      <c r="A8" s="37" t="s">
        <v>167</v>
      </c>
      <c r="B8" s="37" t="s">
        <v>168</v>
      </c>
      <c r="C8" s="38" t="s">
        <v>169</v>
      </c>
      <c r="D8" s="37" t="s">
        <v>170</v>
      </c>
      <c r="E8" s="37" t="s">
        <v>171</v>
      </c>
      <c r="F8" s="37" t="s">
        <v>172</v>
      </c>
      <c r="G8" s="39" t="s">
        <v>134</v>
      </c>
      <c r="H8" s="39" t="s">
        <v>52</v>
      </c>
      <c r="I8" s="37" t="s">
        <v>52</v>
      </c>
      <c r="J8" s="39" t="s">
        <v>136</v>
      </c>
      <c r="K8" s="39" t="s">
        <v>16</v>
      </c>
      <c r="L8" s="39" t="s">
        <v>16</v>
      </c>
      <c r="M8" s="39" t="s">
        <v>16</v>
      </c>
      <c r="N8" s="39" t="s">
        <v>16</v>
      </c>
      <c r="O8" s="39" t="s">
        <v>16</v>
      </c>
      <c r="P8" s="39" t="s">
        <v>16</v>
      </c>
      <c r="Q8" s="39" t="s">
        <v>16</v>
      </c>
      <c r="R8" s="39" t="s">
        <v>145</v>
      </c>
    </row>
    <row r="9" customFormat="false" ht="57.45" hidden="false" customHeight="false" outlineLevel="0" collapsed="false">
      <c r="A9" s="37" t="s">
        <v>173</v>
      </c>
      <c r="B9" s="37" t="s">
        <v>168</v>
      </c>
      <c r="C9" s="38" t="s">
        <v>174</v>
      </c>
      <c r="D9" s="37" t="s">
        <v>175</v>
      </c>
      <c r="E9" s="37" t="s">
        <v>176</v>
      </c>
      <c r="F9" s="37" t="s">
        <v>177</v>
      </c>
      <c r="G9" s="39" t="s">
        <v>134</v>
      </c>
      <c r="H9" s="39" t="s">
        <v>178</v>
      </c>
      <c r="I9" s="37" t="s">
        <v>179</v>
      </c>
      <c r="J9" s="39" t="s">
        <v>136</v>
      </c>
      <c r="K9" s="39" t="s">
        <v>16</v>
      </c>
      <c r="L9" s="39" t="s">
        <v>16</v>
      </c>
      <c r="M9" s="39" t="s">
        <v>24</v>
      </c>
      <c r="N9" s="39" t="s">
        <v>24</v>
      </c>
      <c r="O9" s="39" t="s">
        <v>24</v>
      </c>
      <c r="P9" s="39" t="s">
        <v>24</v>
      </c>
      <c r="Q9" s="39" t="s">
        <v>24</v>
      </c>
      <c r="R9" s="39" t="s">
        <v>145</v>
      </c>
    </row>
    <row r="10" customFormat="false" ht="23.85" hidden="false" customHeight="false" outlineLevel="0" collapsed="false">
      <c r="A10" s="37" t="s">
        <v>180</v>
      </c>
      <c r="B10" s="37" t="s">
        <v>168</v>
      </c>
      <c r="C10" s="38" t="s">
        <v>181</v>
      </c>
      <c r="D10" s="37" t="s">
        <v>182</v>
      </c>
      <c r="E10" s="37" t="s">
        <v>183</v>
      </c>
      <c r="F10" s="37" t="s">
        <v>184</v>
      </c>
      <c r="G10" s="39" t="s">
        <v>52</v>
      </c>
      <c r="H10" s="39" t="s">
        <v>185</v>
      </c>
      <c r="I10" s="37" t="s">
        <v>186</v>
      </c>
      <c r="J10" s="39" t="s">
        <v>136</v>
      </c>
      <c r="K10" s="39" t="s">
        <v>16</v>
      </c>
      <c r="L10" s="39" t="s">
        <v>16</v>
      </c>
      <c r="M10" s="39" t="s">
        <v>24</v>
      </c>
      <c r="N10" s="39" t="s">
        <v>24</v>
      </c>
      <c r="O10" s="39" t="s">
        <v>24</v>
      </c>
      <c r="P10" s="39" t="s">
        <v>24</v>
      </c>
      <c r="Q10" s="39" t="s">
        <v>24</v>
      </c>
      <c r="R10" s="39" t="s">
        <v>145</v>
      </c>
    </row>
    <row r="11" customFormat="false" ht="46.25" hidden="false" customHeight="false" outlineLevel="0" collapsed="false">
      <c r="A11" s="37" t="s">
        <v>187</v>
      </c>
      <c r="B11" s="37" t="s">
        <v>168</v>
      </c>
      <c r="C11" s="38" t="s">
        <v>188</v>
      </c>
      <c r="D11" s="37" t="s">
        <v>189</v>
      </c>
      <c r="E11" s="37" t="s">
        <v>190</v>
      </c>
      <c r="F11" s="37" t="s">
        <v>191</v>
      </c>
      <c r="G11" s="39" t="s">
        <v>134</v>
      </c>
      <c r="H11" s="39" t="s">
        <v>16</v>
      </c>
      <c r="I11" s="37" t="s">
        <v>186</v>
      </c>
      <c r="J11" s="39" t="s">
        <v>136</v>
      </c>
      <c r="K11" s="39" t="s">
        <v>24</v>
      </c>
      <c r="L11" s="39" t="s">
        <v>24</v>
      </c>
      <c r="M11" s="39" t="s">
        <v>16</v>
      </c>
      <c r="N11" s="39" t="s">
        <v>24</v>
      </c>
      <c r="O11" s="39" t="s">
        <v>24</v>
      </c>
      <c r="P11" s="39" t="s">
        <v>24</v>
      </c>
      <c r="Q11" s="39" t="s">
        <v>24</v>
      </c>
      <c r="R11" s="39" t="s">
        <v>137</v>
      </c>
    </row>
    <row r="12" customFormat="false" ht="35.05" hidden="false" customHeight="false" outlineLevel="0" collapsed="false">
      <c r="A12" s="37" t="s">
        <v>192</v>
      </c>
      <c r="B12" s="37" t="s">
        <v>168</v>
      </c>
      <c r="C12" s="38" t="s">
        <v>193</v>
      </c>
      <c r="D12" s="37" t="s">
        <v>194</v>
      </c>
      <c r="E12" s="37" t="s">
        <v>195</v>
      </c>
      <c r="F12" s="37" t="s">
        <v>196</v>
      </c>
      <c r="G12" s="39" t="s">
        <v>52</v>
      </c>
      <c r="H12" s="39" t="s">
        <v>185</v>
      </c>
      <c r="I12" s="37" t="s">
        <v>197</v>
      </c>
      <c r="J12" s="39" t="s">
        <v>136</v>
      </c>
      <c r="K12" s="39" t="s">
        <v>24</v>
      </c>
      <c r="L12" s="39" t="s">
        <v>24</v>
      </c>
      <c r="M12" s="39" t="s">
        <v>24</v>
      </c>
      <c r="N12" s="39" t="s">
        <v>16</v>
      </c>
      <c r="O12" s="39" t="s">
        <v>24</v>
      </c>
      <c r="P12" s="39" t="s">
        <v>24</v>
      </c>
      <c r="Q12" s="39" t="s">
        <v>24</v>
      </c>
      <c r="R12" s="39" t="s">
        <v>145</v>
      </c>
    </row>
    <row r="13" customFormat="false" ht="35.05" hidden="false" customHeight="false" outlineLevel="0" collapsed="false">
      <c r="A13" s="37" t="s">
        <v>198</v>
      </c>
      <c r="B13" s="37" t="s">
        <v>168</v>
      </c>
      <c r="C13" s="38" t="s">
        <v>199</v>
      </c>
      <c r="D13" s="37" t="s">
        <v>200</v>
      </c>
      <c r="E13" s="37" t="s">
        <v>201</v>
      </c>
      <c r="F13" s="37" t="s">
        <v>202</v>
      </c>
      <c r="G13" s="39" t="s">
        <v>134</v>
      </c>
      <c r="H13" s="39" t="s">
        <v>52</v>
      </c>
      <c r="I13" s="37" t="s">
        <v>52</v>
      </c>
      <c r="J13" s="39" t="s">
        <v>136</v>
      </c>
      <c r="K13" s="39" t="s">
        <v>16</v>
      </c>
      <c r="L13" s="39" t="s">
        <v>16</v>
      </c>
      <c r="M13" s="39" t="s">
        <v>16</v>
      </c>
      <c r="N13" s="39" t="s">
        <v>16</v>
      </c>
      <c r="O13" s="39" t="s">
        <v>16</v>
      </c>
      <c r="P13" s="39" t="s">
        <v>16</v>
      </c>
      <c r="Q13" s="39" t="s">
        <v>24</v>
      </c>
      <c r="R13" s="39" t="s">
        <v>145</v>
      </c>
    </row>
    <row r="14" customFormat="false" ht="35.05" hidden="false" customHeight="false" outlineLevel="0" collapsed="false">
      <c r="A14" s="37" t="s">
        <v>203</v>
      </c>
      <c r="B14" s="37" t="s">
        <v>168</v>
      </c>
      <c r="C14" s="38" t="s">
        <v>204</v>
      </c>
      <c r="D14" s="37" t="s">
        <v>205</v>
      </c>
      <c r="E14" s="37" t="s">
        <v>206</v>
      </c>
      <c r="F14" s="37" t="s">
        <v>207</v>
      </c>
      <c r="G14" s="39" t="s">
        <v>52</v>
      </c>
      <c r="H14" s="39" t="s">
        <v>16</v>
      </c>
      <c r="I14" s="37" t="s">
        <v>208</v>
      </c>
      <c r="J14" s="39" t="s">
        <v>136</v>
      </c>
      <c r="K14" s="39" t="s">
        <v>24</v>
      </c>
      <c r="L14" s="39" t="s">
        <v>24</v>
      </c>
      <c r="M14" s="39" t="s">
        <v>24</v>
      </c>
      <c r="N14" s="39" t="s">
        <v>24</v>
      </c>
      <c r="O14" s="39" t="s">
        <v>16</v>
      </c>
      <c r="P14" s="39" t="s">
        <v>24</v>
      </c>
      <c r="Q14" s="39" t="s">
        <v>24</v>
      </c>
      <c r="R14" s="39" t="s">
        <v>145</v>
      </c>
    </row>
    <row r="15" customFormat="false" ht="23.85" hidden="false" customHeight="false" outlineLevel="0" collapsed="false">
      <c r="A15" s="37" t="s">
        <v>209</v>
      </c>
      <c r="B15" s="37" t="s">
        <v>168</v>
      </c>
      <c r="C15" s="38" t="s">
        <v>210</v>
      </c>
      <c r="D15" s="37" t="s">
        <v>211</v>
      </c>
      <c r="E15" s="37" t="s">
        <v>212</v>
      </c>
      <c r="F15" s="37" t="s">
        <v>213</v>
      </c>
      <c r="G15" s="39" t="s">
        <v>52</v>
      </c>
      <c r="H15" s="39" t="s">
        <v>16</v>
      </c>
      <c r="I15" s="37" t="s">
        <v>214</v>
      </c>
      <c r="J15" s="39" t="s">
        <v>144</v>
      </c>
      <c r="K15" s="39" t="s">
        <v>24</v>
      </c>
      <c r="L15" s="39" t="s">
        <v>24</v>
      </c>
      <c r="M15" s="39" t="s">
        <v>24</v>
      </c>
      <c r="N15" s="39" t="s">
        <v>24</v>
      </c>
      <c r="O15" s="39" t="s">
        <v>24</v>
      </c>
      <c r="P15" s="39" t="s">
        <v>24</v>
      </c>
      <c r="Q15" s="39" t="s">
        <v>16</v>
      </c>
      <c r="R15" s="39" t="s">
        <v>145</v>
      </c>
    </row>
    <row r="16" customFormat="false" ht="23.85" hidden="false" customHeight="false" outlineLevel="0" collapsed="false">
      <c r="A16" s="37" t="s">
        <v>215</v>
      </c>
      <c r="B16" s="37" t="s">
        <v>168</v>
      </c>
      <c r="C16" s="38" t="s">
        <v>216</v>
      </c>
      <c r="D16" s="37" t="s">
        <v>217</v>
      </c>
      <c r="E16" s="37" t="s">
        <v>218</v>
      </c>
      <c r="F16" s="37" t="s">
        <v>219</v>
      </c>
      <c r="G16" s="39" t="s">
        <v>52</v>
      </c>
      <c r="H16" s="39" t="s">
        <v>24</v>
      </c>
      <c r="I16" s="37" t="s">
        <v>52</v>
      </c>
      <c r="J16" s="39" t="s">
        <v>136</v>
      </c>
      <c r="K16" s="39" t="s">
        <v>24</v>
      </c>
      <c r="L16" s="39" t="s">
        <v>24</v>
      </c>
      <c r="M16" s="39" t="s">
        <v>16</v>
      </c>
      <c r="N16" s="39" t="s">
        <v>16</v>
      </c>
      <c r="O16" s="39" t="s">
        <v>16</v>
      </c>
      <c r="P16" s="39" t="s">
        <v>16</v>
      </c>
      <c r="Q16" s="39" t="s">
        <v>16</v>
      </c>
      <c r="R16" s="39" t="s">
        <v>145</v>
      </c>
    </row>
    <row r="17" customFormat="false" ht="23.85" hidden="false" customHeight="false" outlineLevel="0" collapsed="false">
      <c r="A17" s="37" t="s">
        <v>220</v>
      </c>
      <c r="B17" s="37" t="s">
        <v>168</v>
      </c>
      <c r="C17" s="38" t="s">
        <v>221</v>
      </c>
      <c r="D17" s="37" t="s">
        <v>222</v>
      </c>
      <c r="E17" s="37" t="s">
        <v>223</v>
      </c>
      <c r="F17" s="37" t="s">
        <v>224</v>
      </c>
      <c r="G17" s="39" t="s">
        <v>52</v>
      </c>
      <c r="H17" s="39" t="s">
        <v>24</v>
      </c>
      <c r="I17" s="37" t="s">
        <v>52</v>
      </c>
      <c r="J17" s="39" t="s">
        <v>136</v>
      </c>
      <c r="K17" s="39" t="s">
        <v>16</v>
      </c>
      <c r="L17" s="39" t="s">
        <v>16</v>
      </c>
      <c r="M17" s="39" t="s">
        <v>16</v>
      </c>
      <c r="N17" s="39" t="s">
        <v>16</v>
      </c>
      <c r="O17" s="39" t="s">
        <v>16</v>
      </c>
      <c r="P17" s="39" t="s">
        <v>16</v>
      </c>
      <c r="Q17" s="39" t="s">
        <v>16</v>
      </c>
      <c r="R17" s="39" t="s">
        <v>137</v>
      </c>
    </row>
    <row r="18" customFormat="false" ht="23.85" hidden="false" customHeight="false" outlineLevel="0" collapsed="false">
      <c r="A18" s="37" t="s">
        <v>225</v>
      </c>
      <c r="B18" s="37" t="s">
        <v>168</v>
      </c>
      <c r="C18" s="38" t="s">
        <v>226</v>
      </c>
      <c r="D18" s="37" t="s">
        <v>227</v>
      </c>
      <c r="E18" s="37" t="s">
        <v>228</v>
      </c>
      <c r="F18" s="37" t="s">
        <v>229</v>
      </c>
      <c r="G18" s="39" t="s">
        <v>134</v>
      </c>
      <c r="H18" s="39" t="s">
        <v>24</v>
      </c>
      <c r="I18" s="37" t="s">
        <v>230</v>
      </c>
      <c r="J18" s="39" t="s">
        <v>144</v>
      </c>
      <c r="K18" s="39" t="s">
        <v>24</v>
      </c>
      <c r="L18" s="39" t="s">
        <v>24</v>
      </c>
      <c r="M18" s="39" t="s">
        <v>24</v>
      </c>
      <c r="N18" s="39" t="s">
        <v>24</v>
      </c>
      <c r="O18" s="39" t="s">
        <v>16</v>
      </c>
      <c r="P18" s="39" t="s">
        <v>16</v>
      </c>
      <c r="Q18" s="39" t="s">
        <v>16</v>
      </c>
      <c r="R18" s="39" t="s">
        <v>145</v>
      </c>
    </row>
    <row r="19" customFormat="false" ht="23.85" hidden="false" customHeight="false" outlineLevel="0" collapsed="false">
      <c r="A19" s="37" t="s">
        <v>231</v>
      </c>
      <c r="B19" s="37" t="s">
        <v>168</v>
      </c>
      <c r="C19" s="38" t="s">
        <v>232</v>
      </c>
      <c r="D19" s="37" t="s">
        <v>233</v>
      </c>
      <c r="E19" s="37" t="s">
        <v>234</v>
      </c>
      <c r="F19" s="37" t="s">
        <v>235</v>
      </c>
      <c r="G19" s="39" t="s">
        <v>134</v>
      </c>
      <c r="H19" s="39" t="s">
        <v>52</v>
      </c>
      <c r="I19" s="37" t="s">
        <v>52</v>
      </c>
      <c r="J19" s="39" t="s">
        <v>136</v>
      </c>
      <c r="K19" s="39" t="s">
        <v>24</v>
      </c>
      <c r="L19" s="39" t="s">
        <v>24</v>
      </c>
      <c r="M19" s="39" t="s">
        <v>24</v>
      </c>
      <c r="N19" s="39" t="s">
        <v>24</v>
      </c>
      <c r="O19" s="39" t="s">
        <v>24</v>
      </c>
      <c r="P19" s="39" t="s">
        <v>24</v>
      </c>
      <c r="Q19" s="39" t="s">
        <v>16</v>
      </c>
      <c r="R19" s="39" t="s">
        <v>145</v>
      </c>
    </row>
    <row r="20" customFormat="false" ht="15" hidden="false" customHeight="false" outlineLevel="0" collapsed="false">
      <c r="A20" s="37" t="s">
        <v>236</v>
      </c>
      <c r="B20" s="37" t="s">
        <v>168</v>
      </c>
      <c r="C20" s="38" t="s">
        <v>237</v>
      </c>
      <c r="D20" s="37" t="s">
        <v>238</v>
      </c>
      <c r="E20" s="37" t="s">
        <v>239</v>
      </c>
      <c r="F20" s="37" t="s">
        <v>240</v>
      </c>
      <c r="G20" s="39" t="s">
        <v>134</v>
      </c>
      <c r="H20" s="39" t="s">
        <v>52</v>
      </c>
      <c r="I20" s="37" t="s">
        <v>52</v>
      </c>
      <c r="J20" s="39" t="s">
        <v>144</v>
      </c>
      <c r="K20" s="39" t="s">
        <v>24</v>
      </c>
      <c r="L20" s="39" t="s">
        <v>24</v>
      </c>
      <c r="M20" s="39" t="s">
        <v>16</v>
      </c>
      <c r="N20" s="39" t="s">
        <v>16</v>
      </c>
      <c r="O20" s="39" t="s">
        <v>16</v>
      </c>
      <c r="P20" s="39" t="s">
        <v>16</v>
      </c>
      <c r="Q20" s="39" t="s">
        <v>16</v>
      </c>
      <c r="R20" s="39" t="s">
        <v>145</v>
      </c>
    </row>
    <row r="21" customFormat="false" ht="23.85" hidden="false" customHeight="false" outlineLevel="0" collapsed="false">
      <c r="A21" s="37" t="s">
        <v>241</v>
      </c>
      <c r="B21" s="37" t="s">
        <v>168</v>
      </c>
      <c r="C21" s="38" t="s">
        <v>242</v>
      </c>
      <c r="D21" s="37" t="s">
        <v>243</v>
      </c>
      <c r="E21" s="37" t="s">
        <v>244</v>
      </c>
      <c r="F21" s="37" t="s">
        <v>245</v>
      </c>
      <c r="G21" s="39" t="s">
        <v>134</v>
      </c>
      <c r="H21" s="39" t="s">
        <v>24</v>
      </c>
      <c r="I21" s="37" t="s">
        <v>246</v>
      </c>
      <c r="J21" s="39" t="s">
        <v>144</v>
      </c>
      <c r="K21" s="39" t="s">
        <v>24</v>
      </c>
      <c r="L21" s="39" t="s">
        <v>24</v>
      </c>
      <c r="M21" s="39" t="s">
        <v>16</v>
      </c>
      <c r="N21" s="39" t="s">
        <v>16</v>
      </c>
      <c r="O21" s="39" t="s">
        <v>16</v>
      </c>
      <c r="P21" s="39" t="s">
        <v>24</v>
      </c>
      <c r="Q21" s="39" t="s">
        <v>24</v>
      </c>
      <c r="R21" s="39" t="s">
        <v>145</v>
      </c>
    </row>
    <row r="22" customFormat="false" ht="23.85" hidden="false" customHeight="false" outlineLevel="0" collapsed="false">
      <c r="A22" s="37" t="s">
        <v>247</v>
      </c>
      <c r="B22" s="37" t="s">
        <v>168</v>
      </c>
      <c r="C22" s="38" t="s">
        <v>248</v>
      </c>
      <c r="D22" s="37" t="s">
        <v>249</v>
      </c>
      <c r="E22" s="37" t="s">
        <v>250</v>
      </c>
      <c r="F22" s="37" t="s">
        <v>251</v>
      </c>
      <c r="G22" s="39" t="s">
        <v>134</v>
      </c>
      <c r="H22" s="39" t="s">
        <v>52</v>
      </c>
      <c r="I22" s="37" t="s">
        <v>52</v>
      </c>
      <c r="J22" s="39" t="s">
        <v>144</v>
      </c>
      <c r="K22" s="39" t="s">
        <v>16</v>
      </c>
      <c r="L22" s="39" t="s">
        <v>16</v>
      </c>
      <c r="M22" s="39" t="s">
        <v>16</v>
      </c>
      <c r="N22" s="39" t="s">
        <v>16</v>
      </c>
      <c r="O22" s="39" t="s">
        <v>16</v>
      </c>
      <c r="P22" s="39" t="s">
        <v>16</v>
      </c>
      <c r="Q22" s="39" t="s">
        <v>16</v>
      </c>
      <c r="R22" s="39" t="s">
        <v>145</v>
      </c>
    </row>
    <row r="23" customFormat="false" ht="23.85" hidden="false" customHeight="false" outlineLevel="0" collapsed="false">
      <c r="A23" s="37" t="s">
        <v>252</v>
      </c>
      <c r="B23" s="37" t="s">
        <v>253</v>
      </c>
      <c r="C23" s="38" t="s">
        <v>254</v>
      </c>
      <c r="D23" s="37" t="s">
        <v>255</v>
      </c>
      <c r="E23" s="37" t="s">
        <v>256</v>
      </c>
      <c r="F23" s="37" t="s">
        <v>257</v>
      </c>
      <c r="G23" s="39" t="s">
        <v>134</v>
      </c>
      <c r="H23" s="39" t="s">
        <v>16</v>
      </c>
      <c r="I23" s="37" t="s">
        <v>258</v>
      </c>
      <c r="J23" s="39" t="s">
        <v>136</v>
      </c>
      <c r="K23" s="39" t="s">
        <v>20</v>
      </c>
      <c r="L23" s="39" t="s">
        <v>20</v>
      </c>
      <c r="M23" s="39" t="s">
        <v>16</v>
      </c>
      <c r="N23" s="39" t="s">
        <v>16</v>
      </c>
      <c r="O23" s="39" t="s">
        <v>16</v>
      </c>
      <c r="P23" s="39" t="s">
        <v>16</v>
      </c>
      <c r="Q23" s="39" t="s">
        <v>16</v>
      </c>
      <c r="R23" s="39" t="s">
        <v>137</v>
      </c>
    </row>
    <row r="24" customFormat="false" ht="15" hidden="false" customHeight="false" outlineLevel="0" collapsed="false">
      <c r="A24" s="37" t="s">
        <v>259</v>
      </c>
      <c r="B24" s="37" t="s">
        <v>253</v>
      </c>
      <c r="C24" s="38" t="s">
        <v>260</v>
      </c>
      <c r="D24" s="37" t="s">
        <v>261</v>
      </c>
      <c r="E24" s="37" t="s">
        <v>262</v>
      </c>
      <c r="F24" s="37" t="s">
        <v>263</v>
      </c>
      <c r="G24" s="39" t="s">
        <v>134</v>
      </c>
      <c r="H24" s="39" t="s">
        <v>24</v>
      </c>
      <c r="I24" s="37" t="s">
        <v>264</v>
      </c>
      <c r="J24" s="39" t="s">
        <v>136</v>
      </c>
      <c r="K24" s="39" t="s">
        <v>16</v>
      </c>
      <c r="L24" s="39" t="s">
        <v>16</v>
      </c>
      <c r="M24" s="39" t="s">
        <v>24</v>
      </c>
      <c r="N24" s="39" t="s">
        <v>24</v>
      </c>
      <c r="O24" s="39" t="s">
        <v>24</v>
      </c>
      <c r="P24" s="39" t="s">
        <v>24</v>
      </c>
      <c r="Q24" s="39" t="s">
        <v>24</v>
      </c>
      <c r="R24" s="39" t="s">
        <v>145</v>
      </c>
    </row>
    <row r="25" customFormat="false" ht="23.85" hidden="false" customHeight="false" outlineLevel="0" collapsed="false">
      <c r="A25" s="37" t="s">
        <v>265</v>
      </c>
      <c r="B25" s="37" t="s">
        <v>253</v>
      </c>
      <c r="C25" s="38" t="s">
        <v>266</v>
      </c>
      <c r="D25" s="37" t="s">
        <v>267</v>
      </c>
      <c r="E25" s="37" t="s">
        <v>268</v>
      </c>
      <c r="F25" s="37" t="s">
        <v>269</v>
      </c>
      <c r="G25" s="39" t="s">
        <v>134</v>
      </c>
      <c r="H25" s="39" t="s">
        <v>16</v>
      </c>
      <c r="I25" s="37" t="s">
        <v>52</v>
      </c>
      <c r="J25" s="39" t="s">
        <v>136</v>
      </c>
      <c r="K25" s="39" t="s">
        <v>24</v>
      </c>
      <c r="L25" s="39" t="s">
        <v>16</v>
      </c>
      <c r="M25" s="39" t="s">
        <v>16</v>
      </c>
      <c r="N25" s="39" t="s">
        <v>16</v>
      </c>
      <c r="O25" s="39" t="s">
        <v>16</v>
      </c>
      <c r="P25" s="39" t="s">
        <v>16</v>
      </c>
      <c r="Q25" s="39" t="s">
        <v>16</v>
      </c>
      <c r="R25" s="39" t="s">
        <v>137</v>
      </c>
    </row>
    <row r="26" customFormat="false" ht="23.85" hidden="false" customHeight="false" outlineLevel="0" collapsed="false">
      <c r="A26" s="37" t="s">
        <v>270</v>
      </c>
      <c r="B26" s="37" t="s">
        <v>253</v>
      </c>
      <c r="C26" s="38" t="s">
        <v>271</v>
      </c>
      <c r="D26" s="37" t="s">
        <v>272</v>
      </c>
      <c r="E26" s="37" t="s">
        <v>273</v>
      </c>
      <c r="F26" s="37" t="s">
        <v>274</v>
      </c>
      <c r="G26" s="39" t="s">
        <v>275</v>
      </c>
      <c r="H26" s="39" t="s">
        <v>52</v>
      </c>
      <c r="I26" s="37" t="s">
        <v>52</v>
      </c>
      <c r="J26" s="39" t="s">
        <v>136</v>
      </c>
      <c r="K26" s="39" t="s">
        <v>24</v>
      </c>
      <c r="L26" s="39" t="s">
        <v>24</v>
      </c>
      <c r="M26" s="39" t="s">
        <v>18</v>
      </c>
      <c r="N26" s="39" t="s">
        <v>18</v>
      </c>
      <c r="O26" s="39" t="s">
        <v>18</v>
      </c>
      <c r="P26" s="39" t="s">
        <v>18</v>
      </c>
      <c r="Q26" s="39" t="s">
        <v>16</v>
      </c>
      <c r="R26" s="39" t="s">
        <v>137</v>
      </c>
    </row>
    <row r="27" customFormat="false" ht="15" hidden="false" customHeight="false" outlineLevel="0" collapsed="false">
      <c r="A27" s="37" t="s">
        <v>276</v>
      </c>
      <c r="B27" s="37" t="s">
        <v>253</v>
      </c>
      <c r="C27" s="38" t="s">
        <v>277</v>
      </c>
      <c r="D27" s="37" t="s">
        <v>278</v>
      </c>
      <c r="E27" s="37" t="s">
        <v>279</v>
      </c>
      <c r="F27" s="37" t="s">
        <v>280</v>
      </c>
      <c r="G27" s="39" t="s">
        <v>134</v>
      </c>
      <c r="H27" s="39" t="s">
        <v>52</v>
      </c>
      <c r="I27" s="37" t="s">
        <v>52</v>
      </c>
      <c r="J27" s="39" t="s">
        <v>136</v>
      </c>
      <c r="K27" s="39" t="s">
        <v>24</v>
      </c>
      <c r="L27" s="39" t="s">
        <v>24</v>
      </c>
      <c r="M27" s="39" t="s">
        <v>18</v>
      </c>
      <c r="N27" s="39" t="s">
        <v>16</v>
      </c>
      <c r="O27" s="39" t="s">
        <v>16</v>
      </c>
      <c r="P27" s="39" t="s">
        <v>16</v>
      </c>
      <c r="Q27" s="39" t="s">
        <v>16</v>
      </c>
      <c r="R27" s="39" t="s">
        <v>137</v>
      </c>
    </row>
    <row r="28" customFormat="false" ht="15" hidden="false" customHeight="false" outlineLevel="0" collapsed="false">
      <c r="A28" s="37" t="s">
        <v>281</v>
      </c>
      <c r="B28" s="37" t="s">
        <v>253</v>
      </c>
      <c r="C28" s="38" t="s">
        <v>282</v>
      </c>
      <c r="D28" s="37" t="s">
        <v>283</v>
      </c>
      <c r="E28" s="37" t="s">
        <v>284</v>
      </c>
      <c r="F28" s="37" t="s">
        <v>52</v>
      </c>
      <c r="G28" s="39" t="s">
        <v>134</v>
      </c>
      <c r="H28" s="39" t="s">
        <v>16</v>
      </c>
      <c r="I28" s="37" t="s">
        <v>52</v>
      </c>
      <c r="J28" s="39" t="s">
        <v>136</v>
      </c>
      <c r="K28" s="39" t="s">
        <v>24</v>
      </c>
      <c r="L28" s="39" t="s">
        <v>24</v>
      </c>
      <c r="M28" s="39" t="s">
        <v>16</v>
      </c>
      <c r="N28" s="39" t="s">
        <v>16</v>
      </c>
      <c r="O28" s="39" t="s">
        <v>16</v>
      </c>
      <c r="P28" s="39" t="s">
        <v>16</v>
      </c>
      <c r="Q28" s="39" t="s">
        <v>16</v>
      </c>
      <c r="R28" s="39" t="s">
        <v>137</v>
      </c>
    </row>
    <row r="29" customFormat="false" ht="15" hidden="false" customHeight="false" outlineLevel="0" collapsed="false">
      <c r="A29" s="37" t="s">
        <v>285</v>
      </c>
      <c r="B29" s="37" t="s">
        <v>253</v>
      </c>
      <c r="C29" s="38" t="s">
        <v>286</v>
      </c>
      <c r="D29" s="37" t="s">
        <v>287</v>
      </c>
      <c r="E29" s="37" t="s">
        <v>288</v>
      </c>
      <c r="F29" s="37" t="s">
        <v>289</v>
      </c>
      <c r="G29" s="39" t="s">
        <v>143</v>
      </c>
      <c r="H29" s="39" t="s">
        <v>290</v>
      </c>
      <c r="I29" s="37" t="s">
        <v>52</v>
      </c>
      <c r="J29" s="39" t="s">
        <v>144</v>
      </c>
      <c r="K29" s="39" t="s">
        <v>24</v>
      </c>
      <c r="L29" s="39" t="s">
        <v>24</v>
      </c>
      <c r="M29" s="39" t="s">
        <v>18</v>
      </c>
      <c r="N29" s="39" t="s">
        <v>18</v>
      </c>
      <c r="O29" s="39" t="s">
        <v>18</v>
      </c>
      <c r="P29" s="39" t="s">
        <v>18</v>
      </c>
      <c r="Q29" s="39" t="s">
        <v>18</v>
      </c>
      <c r="R29" s="39" t="s">
        <v>145</v>
      </c>
    </row>
    <row r="30" customFormat="false" ht="23.85" hidden="false" customHeight="false" outlineLevel="0" collapsed="false">
      <c r="A30" s="37" t="s">
        <v>291</v>
      </c>
      <c r="B30" s="37" t="s">
        <v>253</v>
      </c>
      <c r="C30" s="38" t="s">
        <v>292</v>
      </c>
      <c r="D30" s="37" t="s">
        <v>293</v>
      </c>
      <c r="E30" s="37" t="s">
        <v>294</v>
      </c>
      <c r="F30" s="37" t="s">
        <v>52</v>
      </c>
      <c r="G30" s="39" t="s">
        <v>143</v>
      </c>
      <c r="H30" s="39" t="s">
        <v>16</v>
      </c>
      <c r="I30" s="37" t="s">
        <v>52</v>
      </c>
      <c r="J30" s="39" t="s">
        <v>144</v>
      </c>
      <c r="K30" s="39" t="s">
        <v>24</v>
      </c>
      <c r="L30" s="39" t="s">
        <v>24</v>
      </c>
      <c r="M30" s="39" t="s">
        <v>24</v>
      </c>
      <c r="N30" s="39" t="s">
        <v>24</v>
      </c>
      <c r="O30" s="39" t="s">
        <v>24</v>
      </c>
      <c r="P30" s="39" t="s">
        <v>16</v>
      </c>
      <c r="Q30" s="39" t="s">
        <v>16</v>
      </c>
      <c r="R30" s="39" t="s">
        <v>145</v>
      </c>
    </row>
    <row r="31" customFormat="false" ht="23.85" hidden="false" customHeight="false" outlineLevel="0" collapsed="false">
      <c r="A31" s="37" t="s">
        <v>295</v>
      </c>
      <c r="B31" s="37" t="s">
        <v>253</v>
      </c>
      <c r="C31" s="38" t="s">
        <v>296</v>
      </c>
      <c r="D31" s="37" t="s">
        <v>297</v>
      </c>
      <c r="E31" s="37" t="s">
        <v>298</v>
      </c>
      <c r="F31" s="37" t="s">
        <v>299</v>
      </c>
      <c r="G31" s="39" t="s">
        <v>275</v>
      </c>
      <c r="H31" s="39" t="s">
        <v>52</v>
      </c>
      <c r="I31" s="37" t="s">
        <v>52</v>
      </c>
      <c r="J31" s="39" t="s">
        <v>144</v>
      </c>
      <c r="K31" s="39" t="s">
        <v>24</v>
      </c>
      <c r="L31" s="39" t="s">
        <v>24</v>
      </c>
      <c r="M31" s="39" t="s">
        <v>24</v>
      </c>
      <c r="N31" s="39" t="s">
        <v>24</v>
      </c>
      <c r="O31" s="39" t="s">
        <v>24</v>
      </c>
      <c r="P31" s="39" t="s">
        <v>18</v>
      </c>
      <c r="Q31" s="39" t="s">
        <v>16</v>
      </c>
      <c r="R31" s="39" t="s">
        <v>145</v>
      </c>
    </row>
    <row r="32" customFormat="false" ht="15" hidden="false" customHeight="false" outlineLevel="0" collapsed="false">
      <c r="A32" s="37" t="s">
        <v>300</v>
      </c>
      <c r="B32" s="37" t="s">
        <v>253</v>
      </c>
      <c r="C32" s="38" t="s">
        <v>301</v>
      </c>
      <c r="D32" s="37" t="s">
        <v>302</v>
      </c>
      <c r="E32" s="37" t="s">
        <v>303</v>
      </c>
      <c r="F32" s="37" t="s">
        <v>52</v>
      </c>
      <c r="G32" s="39" t="s">
        <v>143</v>
      </c>
      <c r="H32" s="39" t="s">
        <v>24</v>
      </c>
      <c r="I32" s="37" t="s">
        <v>52</v>
      </c>
      <c r="J32" s="39" t="s">
        <v>304</v>
      </c>
      <c r="K32" s="39" t="s">
        <v>24</v>
      </c>
      <c r="L32" s="39" t="s">
        <v>24</v>
      </c>
      <c r="M32" s="39" t="s">
        <v>24</v>
      </c>
      <c r="N32" s="39" t="s">
        <v>18</v>
      </c>
      <c r="O32" s="39" t="s">
        <v>18</v>
      </c>
      <c r="P32" s="39" t="s">
        <v>18</v>
      </c>
      <c r="Q32" s="39" t="s">
        <v>18</v>
      </c>
      <c r="R32" s="39" t="s">
        <v>145</v>
      </c>
    </row>
    <row r="33" customFormat="false" ht="15" hidden="false" customHeight="false" outlineLevel="0" collapsed="false">
      <c r="A33" s="37" t="s">
        <v>305</v>
      </c>
      <c r="B33" s="37" t="s">
        <v>253</v>
      </c>
      <c r="C33" s="38" t="s">
        <v>306</v>
      </c>
      <c r="D33" s="37" t="s">
        <v>307</v>
      </c>
      <c r="E33" s="37" t="s">
        <v>52</v>
      </c>
      <c r="F33" s="37" t="s">
        <v>52</v>
      </c>
      <c r="G33" s="39" t="s">
        <v>143</v>
      </c>
      <c r="H33" s="39" t="s">
        <v>52</v>
      </c>
      <c r="I33" s="37" t="s">
        <v>52</v>
      </c>
      <c r="J33" s="39" t="s">
        <v>144</v>
      </c>
      <c r="K33" s="39" t="s">
        <v>24</v>
      </c>
      <c r="L33" s="39" t="s">
        <v>24</v>
      </c>
      <c r="M33" s="39" t="s">
        <v>16</v>
      </c>
      <c r="N33" s="39" t="s">
        <v>16</v>
      </c>
      <c r="O33" s="39" t="s">
        <v>16</v>
      </c>
      <c r="P33" s="39" t="s">
        <v>16</v>
      </c>
      <c r="Q33" s="39" t="s">
        <v>16</v>
      </c>
      <c r="R33" s="39" t="s">
        <v>145</v>
      </c>
    </row>
    <row r="34" customFormat="false" ht="15" hidden="false" customHeight="false" outlineLevel="0" collapsed="false">
      <c r="A34" s="37" t="s">
        <v>308</v>
      </c>
      <c r="B34" s="37" t="s">
        <v>253</v>
      </c>
      <c r="C34" s="38" t="s">
        <v>309</v>
      </c>
      <c r="D34" s="37" t="s">
        <v>310</v>
      </c>
      <c r="E34" s="37" t="s">
        <v>52</v>
      </c>
      <c r="F34" s="37" t="s">
        <v>52</v>
      </c>
      <c r="G34" s="39" t="s">
        <v>134</v>
      </c>
      <c r="H34" s="39" t="s">
        <v>16</v>
      </c>
      <c r="I34" s="37" t="s">
        <v>52</v>
      </c>
      <c r="J34" s="39" t="s">
        <v>136</v>
      </c>
      <c r="K34" s="39" t="s">
        <v>24</v>
      </c>
      <c r="L34" s="39" t="s">
        <v>16</v>
      </c>
      <c r="M34" s="39" t="s">
        <v>16</v>
      </c>
      <c r="N34" s="39" t="s">
        <v>16</v>
      </c>
      <c r="O34" s="39" t="s">
        <v>16</v>
      </c>
      <c r="P34" s="39" t="s">
        <v>16</v>
      </c>
      <c r="Q34" s="39" t="s">
        <v>16</v>
      </c>
      <c r="R34" s="39" t="s">
        <v>137</v>
      </c>
    </row>
    <row r="35" customFormat="false" ht="23.85" hidden="false" customHeight="false" outlineLevel="0" collapsed="false">
      <c r="A35" s="37" t="s">
        <v>311</v>
      </c>
      <c r="B35" s="37" t="s">
        <v>312</v>
      </c>
      <c r="C35" s="38" t="s">
        <v>313</v>
      </c>
      <c r="D35" s="37" t="s">
        <v>314</v>
      </c>
      <c r="E35" s="37" t="s">
        <v>315</v>
      </c>
      <c r="F35" s="37" t="s">
        <v>316</v>
      </c>
      <c r="G35" s="39" t="s">
        <v>134</v>
      </c>
      <c r="H35" s="39" t="s">
        <v>52</v>
      </c>
      <c r="I35" s="37" t="s">
        <v>52</v>
      </c>
      <c r="J35" s="39" t="s">
        <v>136</v>
      </c>
      <c r="K35" s="39" t="s">
        <v>20</v>
      </c>
      <c r="L35" s="39" t="s">
        <v>20</v>
      </c>
      <c r="M35" s="39" t="s">
        <v>16</v>
      </c>
      <c r="N35" s="39" t="s">
        <v>16</v>
      </c>
      <c r="O35" s="39" t="s">
        <v>16</v>
      </c>
      <c r="P35" s="39" t="s">
        <v>16</v>
      </c>
      <c r="Q35" s="39" t="s">
        <v>16</v>
      </c>
      <c r="R35" s="39" t="s">
        <v>137</v>
      </c>
    </row>
    <row r="36" customFormat="false" ht="23.85" hidden="false" customHeight="false" outlineLevel="0" collapsed="false">
      <c r="A36" s="37" t="s">
        <v>317</v>
      </c>
      <c r="B36" s="37" t="s">
        <v>312</v>
      </c>
      <c r="C36" s="38" t="s">
        <v>318</v>
      </c>
      <c r="D36" s="37" t="s">
        <v>319</v>
      </c>
      <c r="E36" s="37" t="s">
        <v>52</v>
      </c>
      <c r="F36" s="37" t="s">
        <v>52</v>
      </c>
      <c r="G36" s="39" t="s">
        <v>134</v>
      </c>
      <c r="H36" s="39" t="s">
        <v>52</v>
      </c>
      <c r="I36" s="37" t="s">
        <v>52</v>
      </c>
      <c r="J36" s="39" t="s">
        <v>144</v>
      </c>
      <c r="K36" s="39" t="s">
        <v>16</v>
      </c>
      <c r="L36" s="39" t="s">
        <v>16</v>
      </c>
      <c r="M36" s="39" t="s">
        <v>16</v>
      </c>
      <c r="N36" s="39" t="s">
        <v>16</v>
      </c>
      <c r="O36" s="39" t="s">
        <v>16</v>
      </c>
      <c r="P36" s="39" t="s">
        <v>16</v>
      </c>
      <c r="Q36" s="39" t="s">
        <v>16</v>
      </c>
      <c r="R36" s="39" t="s">
        <v>145</v>
      </c>
    </row>
    <row r="37" customFormat="false" ht="23.85" hidden="false" customHeight="false" outlineLevel="0" collapsed="false">
      <c r="A37" s="37" t="s">
        <v>320</v>
      </c>
      <c r="B37" s="37" t="s">
        <v>312</v>
      </c>
      <c r="C37" s="38" t="s">
        <v>321</v>
      </c>
      <c r="D37" s="37" t="s">
        <v>322</v>
      </c>
      <c r="E37" s="37" t="s">
        <v>323</v>
      </c>
      <c r="F37" s="37" t="s">
        <v>324</v>
      </c>
      <c r="G37" s="39" t="s">
        <v>134</v>
      </c>
      <c r="H37" s="39" t="s">
        <v>52</v>
      </c>
      <c r="I37" s="37" t="s">
        <v>52</v>
      </c>
      <c r="J37" s="39" t="s">
        <v>136</v>
      </c>
      <c r="K37" s="39" t="s">
        <v>16</v>
      </c>
      <c r="L37" s="39" t="s">
        <v>16</v>
      </c>
      <c r="M37" s="39" t="s">
        <v>16</v>
      </c>
      <c r="N37" s="39" t="s">
        <v>16</v>
      </c>
      <c r="O37" s="39" t="s">
        <v>16</v>
      </c>
      <c r="P37" s="39" t="s">
        <v>16</v>
      </c>
      <c r="Q37" s="39" t="s">
        <v>16</v>
      </c>
      <c r="R37" s="39" t="s">
        <v>145</v>
      </c>
    </row>
    <row r="38" customFormat="false" ht="23.85" hidden="false" customHeight="false" outlineLevel="0" collapsed="false">
      <c r="A38" s="37" t="s">
        <v>325</v>
      </c>
      <c r="B38" s="37" t="s">
        <v>326</v>
      </c>
      <c r="C38" s="38" t="s">
        <v>327</v>
      </c>
      <c r="D38" s="37" t="s">
        <v>328</v>
      </c>
      <c r="E38" s="37" t="s">
        <v>329</v>
      </c>
      <c r="F38" s="37" t="s">
        <v>52</v>
      </c>
      <c r="G38" s="39" t="s">
        <v>134</v>
      </c>
      <c r="H38" s="39" t="s">
        <v>16</v>
      </c>
      <c r="I38" s="37" t="s">
        <v>330</v>
      </c>
      <c r="J38" s="39" t="s">
        <v>136</v>
      </c>
      <c r="K38" s="39" t="s">
        <v>24</v>
      </c>
      <c r="L38" s="39" t="s">
        <v>24</v>
      </c>
      <c r="M38" s="39" t="s">
        <v>20</v>
      </c>
      <c r="N38" s="39" t="s">
        <v>16</v>
      </c>
      <c r="O38" s="39" t="s">
        <v>16</v>
      </c>
      <c r="P38" s="39" t="s">
        <v>16</v>
      </c>
      <c r="Q38" s="39" t="s">
        <v>16</v>
      </c>
      <c r="R38" s="39" t="s">
        <v>137</v>
      </c>
    </row>
    <row r="39" customFormat="false" ht="15" hidden="false" customHeight="false" outlineLevel="0" collapsed="false">
      <c r="A39" s="37" t="s">
        <v>331</v>
      </c>
      <c r="B39" s="37" t="s">
        <v>326</v>
      </c>
      <c r="C39" s="38" t="s">
        <v>332</v>
      </c>
      <c r="D39" s="37" t="s">
        <v>333</v>
      </c>
      <c r="E39" s="37" t="s">
        <v>334</v>
      </c>
      <c r="F39" s="37" t="s">
        <v>52</v>
      </c>
      <c r="G39" s="39" t="s">
        <v>134</v>
      </c>
      <c r="H39" s="39" t="s">
        <v>16</v>
      </c>
      <c r="I39" s="37" t="s">
        <v>335</v>
      </c>
      <c r="J39" s="39" t="s">
        <v>136</v>
      </c>
      <c r="K39" s="39" t="s">
        <v>24</v>
      </c>
      <c r="L39" s="39" t="s">
        <v>24</v>
      </c>
      <c r="M39" s="39" t="s">
        <v>20</v>
      </c>
      <c r="N39" s="39" t="s">
        <v>16</v>
      </c>
      <c r="O39" s="39" t="s">
        <v>16</v>
      </c>
      <c r="P39" s="39" t="s">
        <v>16</v>
      </c>
      <c r="Q39" s="39" t="s">
        <v>16</v>
      </c>
      <c r="R39" s="39" t="s">
        <v>137</v>
      </c>
    </row>
    <row r="40" customFormat="false" ht="68.65" hidden="false" customHeight="false" outlineLevel="0" collapsed="false">
      <c r="A40" s="37" t="s">
        <v>336</v>
      </c>
      <c r="B40" s="37" t="s">
        <v>326</v>
      </c>
      <c r="C40" s="38" t="s">
        <v>337</v>
      </c>
      <c r="D40" s="37" t="s">
        <v>338</v>
      </c>
      <c r="E40" s="37" t="s">
        <v>339</v>
      </c>
      <c r="F40" s="37" t="s">
        <v>340</v>
      </c>
      <c r="G40" s="39" t="s">
        <v>341</v>
      </c>
      <c r="H40" s="39" t="s">
        <v>342</v>
      </c>
      <c r="I40" s="37" t="s">
        <v>343</v>
      </c>
      <c r="J40" s="39" t="s">
        <v>136</v>
      </c>
      <c r="K40" s="39" t="s">
        <v>24</v>
      </c>
      <c r="L40" s="39" t="s">
        <v>24</v>
      </c>
      <c r="M40" s="39" t="s">
        <v>24</v>
      </c>
      <c r="N40" s="39" t="s">
        <v>24</v>
      </c>
      <c r="O40" s="39" t="s">
        <v>16</v>
      </c>
      <c r="P40" s="39" t="s">
        <v>16</v>
      </c>
      <c r="Q40" s="39" t="s">
        <v>16</v>
      </c>
      <c r="R40" s="39" t="s">
        <v>145</v>
      </c>
    </row>
    <row r="41" customFormat="false" ht="68.65" hidden="false" customHeight="false" outlineLevel="0" collapsed="false">
      <c r="A41" s="37" t="s">
        <v>344</v>
      </c>
      <c r="B41" s="37" t="s">
        <v>326</v>
      </c>
      <c r="C41" s="38" t="s">
        <v>345</v>
      </c>
      <c r="D41" s="37" t="s">
        <v>346</v>
      </c>
      <c r="E41" s="37" t="s">
        <v>347</v>
      </c>
      <c r="F41" s="37" t="s">
        <v>348</v>
      </c>
      <c r="G41" s="39" t="s">
        <v>349</v>
      </c>
      <c r="H41" s="39" t="s">
        <v>350</v>
      </c>
      <c r="I41" s="37" t="s">
        <v>351</v>
      </c>
      <c r="J41" s="39" t="s">
        <v>136</v>
      </c>
      <c r="K41" s="39" t="s">
        <v>24</v>
      </c>
      <c r="L41" s="39" t="s">
        <v>24</v>
      </c>
      <c r="M41" s="39" t="s">
        <v>24</v>
      </c>
      <c r="N41" s="39" t="s">
        <v>24</v>
      </c>
      <c r="O41" s="39" t="s">
        <v>18</v>
      </c>
      <c r="P41" s="39" t="s">
        <v>18</v>
      </c>
      <c r="Q41" s="39" t="s">
        <v>18</v>
      </c>
      <c r="R41" s="39" t="s">
        <v>145</v>
      </c>
    </row>
    <row r="42" customFormat="false" ht="23.85" hidden="false" customHeight="false" outlineLevel="0" collapsed="false">
      <c r="A42" s="37" t="s">
        <v>352</v>
      </c>
      <c r="B42" s="37" t="s">
        <v>353</v>
      </c>
      <c r="C42" s="38" t="s">
        <v>354</v>
      </c>
      <c r="D42" s="37" t="s">
        <v>355</v>
      </c>
      <c r="E42" s="37" t="s">
        <v>356</v>
      </c>
      <c r="F42" s="37" t="s">
        <v>357</v>
      </c>
      <c r="G42" s="39" t="s">
        <v>134</v>
      </c>
      <c r="H42" s="39" t="s">
        <v>52</v>
      </c>
      <c r="I42" s="37" t="s">
        <v>358</v>
      </c>
      <c r="J42" s="39" t="s">
        <v>136</v>
      </c>
      <c r="K42" s="39" t="s">
        <v>16</v>
      </c>
      <c r="L42" s="39" t="s">
        <v>16</v>
      </c>
      <c r="M42" s="39" t="s">
        <v>16</v>
      </c>
      <c r="N42" s="39" t="s">
        <v>16</v>
      </c>
      <c r="O42" s="39" t="s">
        <v>16</v>
      </c>
      <c r="P42" s="39" t="s">
        <v>16</v>
      </c>
      <c r="Q42" s="39" t="s">
        <v>16</v>
      </c>
      <c r="R42" s="39" t="s">
        <v>145</v>
      </c>
    </row>
    <row r="43" customFormat="false" ht="15" hidden="false" customHeight="false" outlineLevel="0" collapsed="false">
      <c r="A43" s="37" t="s">
        <v>359</v>
      </c>
      <c r="B43" s="37" t="s">
        <v>353</v>
      </c>
      <c r="C43" s="38" t="s">
        <v>360</v>
      </c>
      <c r="D43" s="37" t="s">
        <v>361</v>
      </c>
      <c r="E43" s="37" t="s">
        <v>362</v>
      </c>
      <c r="F43" s="37" t="s">
        <v>52</v>
      </c>
      <c r="G43" s="39" t="s">
        <v>134</v>
      </c>
      <c r="H43" s="39" t="s">
        <v>52</v>
      </c>
      <c r="I43" s="37" t="s">
        <v>52</v>
      </c>
      <c r="J43" s="39" t="s">
        <v>136</v>
      </c>
      <c r="K43" s="39" t="s">
        <v>18</v>
      </c>
      <c r="L43" s="39" t="s">
        <v>18</v>
      </c>
      <c r="M43" s="39" t="s">
        <v>18</v>
      </c>
      <c r="N43" s="39" t="s">
        <v>18</v>
      </c>
      <c r="O43" s="39" t="s">
        <v>18</v>
      </c>
      <c r="P43" s="39" t="s">
        <v>18</v>
      </c>
      <c r="Q43" s="39" t="s">
        <v>18</v>
      </c>
      <c r="R43" s="39" t="s">
        <v>137</v>
      </c>
    </row>
    <row r="44" customFormat="false" ht="15" hidden="false" customHeight="false" outlineLevel="0" collapsed="false">
      <c r="A44" s="37" t="s">
        <v>363</v>
      </c>
      <c r="B44" s="37" t="s">
        <v>353</v>
      </c>
      <c r="C44" s="38" t="s">
        <v>364</v>
      </c>
      <c r="D44" s="37" t="s">
        <v>365</v>
      </c>
      <c r="E44" s="37" t="s">
        <v>366</v>
      </c>
      <c r="F44" s="37" t="s">
        <v>52</v>
      </c>
      <c r="G44" s="39" t="s">
        <v>134</v>
      </c>
      <c r="H44" s="39" t="s">
        <v>52</v>
      </c>
      <c r="I44" s="37" t="s">
        <v>52</v>
      </c>
      <c r="J44" s="39" t="s">
        <v>136</v>
      </c>
      <c r="K44" s="39" t="s">
        <v>18</v>
      </c>
      <c r="L44" s="39" t="s">
        <v>18</v>
      </c>
      <c r="M44" s="39" t="s">
        <v>18</v>
      </c>
      <c r="N44" s="39" t="s">
        <v>16</v>
      </c>
      <c r="O44" s="39" t="s">
        <v>16</v>
      </c>
      <c r="P44" s="39" t="s">
        <v>16</v>
      </c>
      <c r="Q44" s="39" t="s">
        <v>16</v>
      </c>
      <c r="R44" s="39" t="s">
        <v>137</v>
      </c>
    </row>
    <row r="45" customFormat="false" ht="15" hidden="false" customHeight="false" outlineLevel="0" collapsed="false">
      <c r="A45" s="37" t="s">
        <v>367</v>
      </c>
      <c r="B45" s="37" t="s">
        <v>353</v>
      </c>
      <c r="C45" s="38" t="s">
        <v>368</v>
      </c>
      <c r="D45" s="37" t="s">
        <v>369</v>
      </c>
      <c r="E45" s="37" t="s">
        <v>370</v>
      </c>
      <c r="F45" s="37" t="s">
        <v>52</v>
      </c>
      <c r="G45" s="39" t="s">
        <v>134</v>
      </c>
      <c r="H45" s="39" t="s">
        <v>52</v>
      </c>
      <c r="I45" s="37" t="s">
        <v>52</v>
      </c>
      <c r="J45" s="39" t="s">
        <v>144</v>
      </c>
      <c r="K45" s="39" t="s">
        <v>24</v>
      </c>
      <c r="L45" s="39" t="s">
        <v>24</v>
      </c>
      <c r="M45" s="39" t="s">
        <v>24</v>
      </c>
      <c r="N45" s="39" t="s">
        <v>24</v>
      </c>
      <c r="O45" s="39" t="s">
        <v>16</v>
      </c>
      <c r="P45" s="39" t="s">
        <v>16</v>
      </c>
      <c r="Q45" s="39" t="s">
        <v>16</v>
      </c>
      <c r="R45" s="39" t="s">
        <v>145</v>
      </c>
    </row>
    <row r="46" customFormat="false" ht="15" hidden="false" customHeight="false" outlineLevel="0" collapsed="false">
      <c r="A46" s="37" t="s">
        <v>371</v>
      </c>
      <c r="B46" s="37" t="s">
        <v>353</v>
      </c>
      <c r="C46" s="38" t="s">
        <v>372</v>
      </c>
      <c r="D46" s="37" t="s">
        <v>373</v>
      </c>
      <c r="E46" s="37" t="s">
        <v>374</v>
      </c>
      <c r="F46" s="37" t="s">
        <v>52</v>
      </c>
      <c r="G46" s="39" t="s">
        <v>134</v>
      </c>
      <c r="H46" s="39" t="s">
        <v>52</v>
      </c>
      <c r="I46" s="37" t="s">
        <v>52</v>
      </c>
      <c r="J46" s="39" t="s">
        <v>144</v>
      </c>
      <c r="K46" s="39" t="s">
        <v>24</v>
      </c>
      <c r="L46" s="39" t="s">
        <v>24</v>
      </c>
      <c r="M46" s="39" t="s">
        <v>24</v>
      </c>
      <c r="N46" s="39" t="s">
        <v>24</v>
      </c>
      <c r="O46" s="39" t="s">
        <v>24</v>
      </c>
      <c r="P46" s="39" t="s">
        <v>16</v>
      </c>
      <c r="Q46" s="39" t="s">
        <v>16</v>
      </c>
      <c r="R46" s="39" t="s">
        <v>145</v>
      </c>
    </row>
    <row r="47" customFormat="false" ht="15" hidden="false" customHeight="false" outlineLevel="0" collapsed="false">
      <c r="A47" s="37" t="s">
        <v>375</v>
      </c>
      <c r="B47" s="37" t="s">
        <v>353</v>
      </c>
      <c r="C47" s="38" t="s">
        <v>376</v>
      </c>
      <c r="D47" s="37" t="s">
        <v>377</v>
      </c>
      <c r="E47" s="37" t="s">
        <v>378</v>
      </c>
      <c r="F47" s="37" t="s">
        <v>52</v>
      </c>
      <c r="G47" s="39" t="s">
        <v>134</v>
      </c>
      <c r="H47" s="39" t="s">
        <v>52</v>
      </c>
      <c r="I47" s="37" t="s">
        <v>52</v>
      </c>
      <c r="J47" s="39" t="s">
        <v>144</v>
      </c>
      <c r="K47" s="39" t="s">
        <v>24</v>
      </c>
      <c r="L47" s="39" t="s">
        <v>24</v>
      </c>
      <c r="M47" s="39" t="s">
        <v>24</v>
      </c>
      <c r="N47" s="39" t="s">
        <v>24</v>
      </c>
      <c r="O47" s="39" t="s">
        <v>24</v>
      </c>
      <c r="P47" s="39" t="s">
        <v>16</v>
      </c>
      <c r="Q47" s="39" t="s">
        <v>24</v>
      </c>
      <c r="R47" s="39" t="s">
        <v>145</v>
      </c>
    </row>
    <row r="48" customFormat="false" ht="23.85" hidden="false" customHeight="false" outlineLevel="0" collapsed="false">
      <c r="A48" s="37" t="s">
        <v>379</v>
      </c>
      <c r="B48" s="37" t="s">
        <v>353</v>
      </c>
      <c r="C48" s="38" t="s">
        <v>380</v>
      </c>
      <c r="D48" s="37" t="s">
        <v>381</v>
      </c>
      <c r="E48" s="37" t="s">
        <v>382</v>
      </c>
      <c r="F48" s="37" t="s">
        <v>52</v>
      </c>
      <c r="G48" s="39" t="s">
        <v>134</v>
      </c>
      <c r="H48" s="39" t="s">
        <v>52</v>
      </c>
      <c r="I48" s="37" t="s">
        <v>52</v>
      </c>
      <c r="J48" s="39" t="s">
        <v>136</v>
      </c>
      <c r="K48" s="39" t="s">
        <v>24</v>
      </c>
      <c r="L48" s="39" t="s">
        <v>16</v>
      </c>
      <c r="M48" s="39" t="s">
        <v>16</v>
      </c>
      <c r="N48" s="39" t="s">
        <v>16</v>
      </c>
      <c r="O48" s="39" t="s">
        <v>16</v>
      </c>
      <c r="P48" s="39" t="s">
        <v>16</v>
      </c>
      <c r="Q48" s="39" t="s">
        <v>16</v>
      </c>
      <c r="R48" s="39" t="s">
        <v>137</v>
      </c>
    </row>
    <row r="49" customFormat="false" ht="23.85" hidden="false" customHeight="false" outlineLevel="0" collapsed="false">
      <c r="A49" s="37" t="s">
        <v>383</v>
      </c>
      <c r="B49" s="37" t="s">
        <v>353</v>
      </c>
      <c r="C49" s="38" t="s">
        <v>384</v>
      </c>
      <c r="D49" s="37" t="s">
        <v>385</v>
      </c>
      <c r="E49" s="37" t="s">
        <v>386</v>
      </c>
      <c r="F49" s="37" t="s">
        <v>387</v>
      </c>
      <c r="G49" s="39" t="s">
        <v>134</v>
      </c>
      <c r="H49" s="39" t="s">
        <v>16</v>
      </c>
      <c r="I49" s="37" t="s">
        <v>52</v>
      </c>
      <c r="J49" s="39" t="s">
        <v>136</v>
      </c>
      <c r="K49" s="39" t="s">
        <v>16</v>
      </c>
      <c r="L49" s="39" t="s">
        <v>16</v>
      </c>
      <c r="M49" s="39" t="s">
        <v>16</v>
      </c>
      <c r="N49" s="39" t="s">
        <v>16</v>
      </c>
      <c r="O49" s="39" t="s">
        <v>16</v>
      </c>
      <c r="P49" s="39" t="s">
        <v>24</v>
      </c>
      <c r="Q49" s="39" t="s">
        <v>24</v>
      </c>
      <c r="R49" s="39" t="s">
        <v>145</v>
      </c>
    </row>
    <row r="50" customFormat="false" ht="15" hidden="false" customHeight="false" outlineLevel="0" collapsed="false">
      <c r="A50" s="37" t="s">
        <v>388</v>
      </c>
      <c r="B50" s="37" t="s">
        <v>389</v>
      </c>
      <c r="C50" s="38" t="s">
        <v>390</v>
      </c>
      <c r="D50" s="37" t="s">
        <v>391</v>
      </c>
      <c r="E50" s="37" t="s">
        <v>392</v>
      </c>
      <c r="F50" s="37" t="s">
        <v>52</v>
      </c>
      <c r="G50" s="39" t="s">
        <v>134</v>
      </c>
      <c r="H50" s="39" t="s">
        <v>16</v>
      </c>
      <c r="I50" s="37" t="s">
        <v>393</v>
      </c>
      <c r="J50" s="39" t="s">
        <v>136</v>
      </c>
      <c r="K50" s="39" t="s">
        <v>18</v>
      </c>
      <c r="L50" s="39" t="s">
        <v>18</v>
      </c>
      <c r="M50" s="39" t="s">
        <v>16</v>
      </c>
      <c r="N50" s="39" t="s">
        <v>16</v>
      </c>
      <c r="O50" s="39" t="s">
        <v>16</v>
      </c>
      <c r="P50" s="39" t="s">
        <v>16</v>
      </c>
      <c r="Q50" s="39" t="s">
        <v>16</v>
      </c>
      <c r="R50" s="39" t="s">
        <v>137</v>
      </c>
    </row>
    <row r="51" customFormat="false" ht="23.85" hidden="false" customHeight="false" outlineLevel="0" collapsed="false">
      <c r="A51" s="37" t="s">
        <v>394</v>
      </c>
      <c r="B51" s="37" t="s">
        <v>389</v>
      </c>
      <c r="C51" s="38" t="s">
        <v>395</v>
      </c>
      <c r="D51" s="37" t="s">
        <v>396</v>
      </c>
      <c r="E51" s="37" t="s">
        <v>397</v>
      </c>
      <c r="F51" s="37" t="s">
        <v>52</v>
      </c>
      <c r="G51" s="39" t="s">
        <v>134</v>
      </c>
      <c r="H51" s="39" t="s">
        <v>16</v>
      </c>
      <c r="I51" s="37" t="s">
        <v>398</v>
      </c>
      <c r="J51" s="39" t="s">
        <v>136</v>
      </c>
      <c r="K51" s="39" t="s">
        <v>20</v>
      </c>
      <c r="L51" s="39" t="s">
        <v>20</v>
      </c>
      <c r="M51" s="39" t="s">
        <v>16</v>
      </c>
      <c r="N51" s="39" t="s">
        <v>16</v>
      </c>
      <c r="O51" s="39" t="s">
        <v>16</v>
      </c>
      <c r="P51" s="39" t="s">
        <v>16</v>
      </c>
      <c r="Q51" s="39" t="s">
        <v>16</v>
      </c>
      <c r="R51" s="39" t="s">
        <v>137</v>
      </c>
    </row>
    <row r="52" customFormat="false" ht="46.25" hidden="false" customHeight="false" outlineLevel="0" collapsed="false">
      <c r="A52" s="37" t="s">
        <v>399</v>
      </c>
      <c r="B52" s="37" t="s">
        <v>389</v>
      </c>
      <c r="C52" s="38" t="s">
        <v>400</v>
      </c>
      <c r="D52" s="37" t="s">
        <v>401</v>
      </c>
      <c r="E52" s="37" t="s">
        <v>402</v>
      </c>
      <c r="F52" s="37" t="s">
        <v>403</v>
      </c>
      <c r="G52" s="39" t="s">
        <v>404</v>
      </c>
      <c r="H52" s="39" t="s">
        <v>24</v>
      </c>
      <c r="I52" s="37" t="s">
        <v>405</v>
      </c>
      <c r="J52" s="39" t="s">
        <v>136</v>
      </c>
      <c r="K52" s="39" t="s">
        <v>24</v>
      </c>
      <c r="L52" s="39" t="s">
        <v>24</v>
      </c>
      <c r="M52" s="39" t="s">
        <v>24</v>
      </c>
      <c r="N52" s="39" t="s">
        <v>24</v>
      </c>
      <c r="O52" s="39" t="s">
        <v>24</v>
      </c>
      <c r="P52" s="39" t="s">
        <v>16</v>
      </c>
      <c r="Q52" s="39" t="s">
        <v>18</v>
      </c>
      <c r="R52" s="39" t="s">
        <v>137</v>
      </c>
    </row>
    <row r="53" customFormat="false" ht="35.05" hidden="false" customHeight="false" outlineLevel="0" collapsed="false">
      <c r="A53" s="37" t="s">
        <v>406</v>
      </c>
      <c r="B53" s="37" t="s">
        <v>389</v>
      </c>
      <c r="C53" s="38" t="s">
        <v>407</v>
      </c>
      <c r="D53" s="37" t="s">
        <v>408</v>
      </c>
      <c r="E53" s="37" t="s">
        <v>409</v>
      </c>
      <c r="F53" s="37" t="s">
        <v>410</v>
      </c>
      <c r="G53" s="39" t="s">
        <v>134</v>
      </c>
      <c r="H53" s="39" t="s">
        <v>24</v>
      </c>
      <c r="I53" s="37" t="s">
        <v>405</v>
      </c>
      <c r="J53" s="39" t="s">
        <v>136</v>
      </c>
      <c r="K53" s="39" t="s">
        <v>24</v>
      </c>
      <c r="L53" s="39" t="s">
        <v>24</v>
      </c>
      <c r="M53" s="39" t="s">
        <v>24</v>
      </c>
      <c r="N53" s="39" t="s">
        <v>24</v>
      </c>
      <c r="O53" s="39" t="s">
        <v>16</v>
      </c>
      <c r="P53" s="39" t="s">
        <v>16</v>
      </c>
      <c r="Q53" s="39" t="s">
        <v>18</v>
      </c>
      <c r="R53" s="39" t="s">
        <v>145</v>
      </c>
    </row>
    <row r="54" customFormat="false" ht="23.85" hidden="false" customHeight="false" outlineLevel="0" collapsed="false">
      <c r="A54" s="37" t="s">
        <v>411</v>
      </c>
      <c r="B54" s="37" t="s">
        <v>389</v>
      </c>
      <c r="C54" s="38" t="s">
        <v>412</v>
      </c>
      <c r="D54" s="37" t="s">
        <v>413</v>
      </c>
      <c r="E54" s="37" t="s">
        <v>414</v>
      </c>
      <c r="F54" s="37" t="s">
        <v>52</v>
      </c>
      <c r="G54" s="39" t="s">
        <v>143</v>
      </c>
      <c r="H54" s="39" t="s">
        <v>24</v>
      </c>
      <c r="I54" s="37" t="s">
        <v>52</v>
      </c>
      <c r="J54" s="39" t="s">
        <v>304</v>
      </c>
      <c r="K54" s="39" t="s">
        <v>24</v>
      </c>
      <c r="L54" s="39" t="s">
        <v>24</v>
      </c>
      <c r="M54" s="39" t="s">
        <v>24</v>
      </c>
      <c r="N54" s="39" t="s">
        <v>24</v>
      </c>
      <c r="O54" s="39" t="s">
        <v>24</v>
      </c>
      <c r="P54" s="39" t="s">
        <v>18</v>
      </c>
      <c r="Q54" s="39" t="s">
        <v>18</v>
      </c>
      <c r="R54" s="39" t="s">
        <v>145</v>
      </c>
    </row>
    <row r="55" customFormat="false" ht="35.05" hidden="false" customHeight="false" outlineLevel="0" collapsed="false">
      <c r="A55" s="37" t="s">
        <v>415</v>
      </c>
      <c r="B55" s="37" t="s">
        <v>416</v>
      </c>
      <c r="C55" s="38" t="s">
        <v>417</v>
      </c>
      <c r="D55" s="37" t="s">
        <v>418</v>
      </c>
      <c r="E55" s="37" t="s">
        <v>419</v>
      </c>
      <c r="F55" s="37" t="s">
        <v>420</v>
      </c>
      <c r="G55" s="39" t="s">
        <v>134</v>
      </c>
      <c r="H55" s="39" t="s">
        <v>52</v>
      </c>
      <c r="I55" s="37" t="s">
        <v>52</v>
      </c>
      <c r="J55" s="39" t="s">
        <v>136</v>
      </c>
      <c r="K55" s="39" t="s">
        <v>24</v>
      </c>
      <c r="L55" s="39" t="s">
        <v>24</v>
      </c>
      <c r="M55" s="39" t="s">
        <v>24</v>
      </c>
      <c r="N55" s="39" t="s">
        <v>16</v>
      </c>
      <c r="O55" s="39" t="s">
        <v>16</v>
      </c>
      <c r="P55" s="39" t="s">
        <v>16</v>
      </c>
      <c r="Q55" s="39" t="s">
        <v>16</v>
      </c>
      <c r="R55" s="39" t="s">
        <v>137</v>
      </c>
    </row>
    <row r="56" customFormat="false" ht="23.85" hidden="false" customHeight="false" outlineLevel="0" collapsed="false">
      <c r="A56" s="37" t="s">
        <v>421</v>
      </c>
      <c r="B56" s="37" t="s">
        <v>416</v>
      </c>
      <c r="C56" s="38" t="s">
        <v>422</v>
      </c>
      <c r="D56" s="37" t="s">
        <v>423</v>
      </c>
      <c r="E56" s="37" t="s">
        <v>424</v>
      </c>
      <c r="F56" s="37" t="s">
        <v>425</v>
      </c>
      <c r="G56" s="39" t="s">
        <v>426</v>
      </c>
      <c r="H56" s="39" t="s">
        <v>24</v>
      </c>
      <c r="I56" s="37" t="s">
        <v>427</v>
      </c>
      <c r="J56" s="39" t="s">
        <v>144</v>
      </c>
      <c r="K56" s="39" t="s">
        <v>24</v>
      </c>
      <c r="L56" s="39" t="s">
        <v>24</v>
      </c>
      <c r="M56" s="39" t="s">
        <v>24</v>
      </c>
      <c r="N56" s="39" t="s">
        <v>24</v>
      </c>
      <c r="O56" s="39" t="s">
        <v>18</v>
      </c>
      <c r="P56" s="39" t="s">
        <v>16</v>
      </c>
      <c r="Q56" s="39" t="s">
        <v>16</v>
      </c>
      <c r="R56" s="39" t="s">
        <v>145</v>
      </c>
    </row>
    <row r="57" customFormat="false" ht="23.85" hidden="false" customHeight="false" outlineLevel="0" collapsed="false">
      <c r="A57" s="37" t="s">
        <v>428</v>
      </c>
      <c r="B57" s="37" t="s">
        <v>416</v>
      </c>
      <c r="C57" s="38" t="s">
        <v>429</v>
      </c>
      <c r="D57" s="37" t="s">
        <v>430</v>
      </c>
      <c r="E57" s="37" t="s">
        <v>431</v>
      </c>
      <c r="F57" s="37" t="s">
        <v>432</v>
      </c>
      <c r="G57" s="39" t="s">
        <v>143</v>
      </c>
      <c r="H57" s="39" t="s">
        <v>24</v>
      </c>
      <c r="I57" s="37" t="s">
        <v>433</v>
      </c>
      <c r="J57" s="39" t="s">
        <v>304</v>
      </c>
      <c r="K57" s="39" t="s">
        <v>24</v>
      </c>
      <c r="L57" s="39" t="s">
        <v>24</v>
      </c>
      <c r="M57" s="39" t="s">
        <v>24</v>
      </c>
      <c r="N57" s="39" t="s">
        <v>24</v>
      </c>
      <c r="O57" s="39" t="s">
        <v>24</v>
      </c>
      <c r="P57" s="39" t="s">
        <v>18</v>
      </c>
      <c r="Q57" s="39" t="s">
        <v>18</v>
      </c>
      <c r="R57" s="39" t="s">
        <v>145</v>
      </c>
    </row>
    <row r="58" customFormat="false" ht="57.45" hidden="false" customHeight="false" outlineLevel="0" collapsed="false">
      <c r="A58" s="37" t="s">
        <v>434</v>
      </c>
      <c r="B58" s="37" t="s">
        <v>416</v>
      </c>
      <c r="C58" s="38" t="s">
        <v>435</v>
      </c>
      <c r="D58" s="37" t="s">
        <v>436</v>
      </c>
      <c r="E58" s="37" t="s">
        <v>437</v>
      </c>
      <c r="F58" s="37" t="s">
        <v>438</v>
      </c>
      <c r="G58" s="39" t="s">
        <v>439</v>
      </c>
      <c r="H58" s="39" t="s">
        <v>52</v>
      </c>
      <c r="I58" s="37" t="s">
        <v>52</v>
      </c>
      <c r="J58" s="39" t="s">
        <v>136</v>
      </c>
      <c r="K58" s="39" t="s">
        <v>24</v>
      </c>
      <c r="L58" s="39" t="s">
        <v>24</v>
      </c>
      <c r="M58" s="39" t="s">
        <v>24</v>
      </c>
      <c r="N58" s="39" t="s">
        <v>24</v>
      </c>
      <c r="O58" s="39" t="s">
        <v>16</v>
      </c>
      <c r="P58" s="39" t="s">
        <v>16</v>
      </c>
      <c r="Q58" s="39" t="s">
        <v>16</v>
      </c>
      <c r="R58" s="39" t="s">
        <v>145</v>
      </c>
    </row>
    <row r="59" customFormat="false" ht="23.85" hidden="false" customHeight="false" outlineLevel="0" collapsed="false">
      <c r="A59" s="37" t="s">
        <v>440</v>
      </c>
      <c r="B59" s="37" t="s">
        <v>416</v>
      </c>
      <c r="C59" s="38" t="s">
        <v>441</v>
      </c>
      <c r="D59" s="37" t="s">
        <v>442</v>
      </c>
      <c r="E59" s="37" t="s">
        <v>443</v>
      </c>
      <c r="F59" s="37" t="s">
        <v>52</v>
      </c>
      <c r="G59" s="39" t="s">
        <v>275</v>
      </c>
      <c r="H59" s="39" t="s">
        <v>52</v>
      </c>
      <c r="I59" s="37" t="s">
        <v>52</v>
      </c>
      <c r="J59" s="39" t="s">
        <v>144</v>
      </c>
      <c r="K59" s="39" t="s">
        <v>24</v>
      </c>
      <c r="L59" s="39" t="s">
        <v>24</v>
      </c>
      <c r="M59" s="39" t="s">
        <v>24</v>
      </c>
      <c r="N59" s="39" t="s">
        <v>24</v>
      </c>
      <c r="O59" s="39" t="s">
        <v>24</v>
      </c>
      <c r="P59" s="39" t="s">
        <v>18</v>
      </c>
      <c r="Q59" s="39" t="s">
        <v>16</v>
      </c>
      <c r="R59" s="39" t="s">
        <v>145</v>
      </c>
    </row>
    <row r="60" customFormat="false" ht="15" hidden="false" customHeight="false" outlineLevel="0" collapsed="false">
      <c r="A60" s="37" t="s">
        <v>444</v>
      </c>
      <c r="B60" s="37" t="s">
        <v>416</v>
      </c>
      <c r="C60" s="38" t="s">
        <v>445</v>
      </c>
      <c r="D60" s="37" t="s">
        <v>446</v>
      </c>
      <c r="E60" s="37" t="s">
        <v>447</v>
      </c>
      <c r="F60" s="37" t="s">
        <v>52</v>
      </c>
      <c r="G60" s="39" t="s">
        <v>275</v>
      </c>
      <c r="H60" s="39" t="s">
        <v>52</v>
      </c>
      <c r="I60" s="37" t="s">
        <v>52</v>
      </c>
      <c r="J60" s="39" t="s">
        <v>304</v>
      </c>
      <c r="K60" s="39" t="s">
        <v>24</v>
      </c>
      <c r="L60" s="39" t="s">
        <v>24</v>
      </c>
      <c r="M60" s="39" t="s">
        <v>24</v>
      </c>
      <c r="N60" s="39" t="s">
        <v>24</v>
      </c>
      <c r="O60" s="39" t="s">
        <v>24</v>
      </c>
      <c r="P60" s="39" t="s">
        <v>18</v>
      </c>
      <c r="Q60" s="39" t="s">
        <v>16</v>
      </c>
      <c r="R60" s="39" t="s">
        <v>145</v>
      </c>
    </row>
    <row r="61" customFormat="false" ht="15" hidden="false" customHeight="false" outlineLevel="0" collapsed="false">
      <c r="A61" s="37" t="s">
        <v>448</v>
      </c>
      <c r="B61" s="37" t="s">
        <v>416</v>
      </c>
      <c r="C61" s="38" t="s">
        <v>449</v>
      </c>
      <c r="D61" s="37" t="s">
        <v>450</v>
      </c>
      <c r="E61" s="37" t="s">
        <v>52</v>
      </c>
      <c r="F61" s="37" t="s">
        <v>52</v>
      </c>
      <c r="G61" s="39" t="s">
        <v>134</v>
      </c>
      <c r="H61" s="39" t="s">
        <v>52</v>
      </c>
      <c r="I61" s="37" t="s">
        <v>52</v>
      </c>
      <c r="J61" s="39" t="s">
        <v>136</v>
      </c>
      <c r="K61" s="39" t="s">
        <v>24</v>
      </c>
      <c r="L61" s="39" t="s">
        <v>24</v>
      </c>
      <c r="M61" s="39" t="s">
        <v>16</v>
      </c>
      <c r="N61" s="39" t="s">
        <v>16</v>
      </c>
      <c r="O61" s="39" t="s">
        <v>16</v>
      </c>
      <c r="P61" s="39" t="s">
        <v>16</v>
      </c>
      <c r="Q61" s="39" t="s">
        <v>16</v>
      </c>
      <c r="R61" s="39" t="s">
        <v>145</v>
      </c>
    </row>
    <row r="62" customFormat="false" ht="15" hidden="false" customHeight="false" outlineLevel="0" collapsed="false">
      <c r="A62" s="37" t="s">
        <v>451</v>
      </c>
      <c r="B62" s="37" t="s">
        <v>452</v>
      </c>
      <c r="C62" s="38" t="s">
        <v>453</v>
      </c>
      <c r="D62" s="37" t="s">
        <v>454</v>
      </c>
      <c r="E62" s="37" t="s">
        <v>455</v>
      </c>
      <c r="F62" s="37" t="s">
        <v>52</v>
      </c>
      <c r="G62" s="39" t="s">
        <v>52</v>
      </c>
      <c r="H62" s="39" t="s">
        <v>16</v>
      </c>
      <c r="I62" s="37" t="s">
        <v>456</v>
      </c>
      <c r="J62" s="39" t="s">
        <v>136</v>
      </c>
      <c r="K62" s="39" t="s">
        <v>24</v>
      </c>
      <c r="L62" s="39" t="s">
        <v>24</v>
      </c>
      <c r="M62" s="39" t="s">
        <v>16</v>
      </c>
      <c r="N62" s="39" t="s">
        <v>16</v>
      </c>
      <c r="O62" s="39" t="s">
        <v>16</v>
      </c>
      <c r="P62" s="39" t="s">
        <v>16</v>
      </c>
      <c r="Q62" s="39" t="s">
        <v>16</v>
      </c>
      <c r="R62" s="39" t="s">
        <v>137</v>
      </c>
    </row>
    <row r="63" customFormat="false" ht="15" hidden="false" customHeight="false" outlineLevel="0" collapsed="false">
      <c r="A63" s="37" t="s">
        <v>457</v>
      </c>
      <c r="B63" s="37" t="s">
        <v>452</v>
      </c>
      <c r="C63" s="38" t="s">
        <v>458</v>
      </c>
      <c r="D63" s="37" t="s">
        <v>459</v>
      </c>
      <c r="E63" s="37" t="s">
        <v>460</v>
      </c>
      <c r="F63" s="37" t="s">
        <v>461</v>
      </c>
      <c r="G63" s="39" t="s">
        <v>52</v>
      </c>
      <c r="H63" s="39" t="s">
        <v>16</v>
      </c>
      <c r="I63" s="37" t="s">
        <v>462</v>
      </c>
      <c r="J63" s="39" t="s">
        <v>136</v>
      </c>
      <c r="K63" s="39" t="s">
        <v>24</v>
      </c>
      <c r="L63" s="39" t="s">
        <v>24</v>
      </c>
      <c r="M63" s="39" t="s">
        <v>24</v>
      </c>
      <c r="N63" s="39" t="s">
        <v>22</v>
      </c>
      <c r="O63" s="39" t="s">
        <v>22</v>
      </c>
      <c r="P63" s="39" t="s">
        <v>16</v>
      </c>
      <c r="Q63" s="39" t="s">
        <v>16</v>
      </c>
      <c r="R63" s="39" t="s">
        <v>145</v>
      </c>
    </row>
    <row r="64" customFormat="false" ht="46.25" hidden="false" customHeight="false" outlineLevel="0" collapsed="false">
      <c r="A64" s="37" t="s">
        <v>463</v>
      </c>
      <c r="B64" s="37" t="s">
        <v>452</v>
      </c>
      <c r="C64" s="38" t="s">
        <v>464</v>
      </c>
      <c r="D64" s="37" t="s">
        <v>465</v>
      </c>
      <c r="E64" s="37" t="s">
        <v>466</v>
      </c>
      <c r="F64" s="37" t="s">
        <v>467</v>
      </c>
      <c r="G64" s="39" t="s">
        <v>468</v>
      </c>
      <c r="H64" s="39" t="s">
        <v>18</v>
      </c>
      <c r="I64" s="37" t="s">
        <v>469</v>
      </c>
      <c r="J64" s="39" t="s">
        <v>136</v>
      </c>
      <c r="K64" s="39" t="s">
        <v>24</v>
      </c>
      <c r="L64" s="39" t="s">
        <v>24</v>
      </c>
      <c r="M64" s="39" t="s">
        <v>24</v>
      </c>
      <c r="N64" s="39" t="s">
        <v>24</v>
      </c>
      <c r="O64" s="39" t="s">
        <v>24</v>
      </c>
      <c r="P64" s="39" t="s">
        <v>16</v>
      </c>
      <c r="Q64" s="39" t="s">
        <v>16</v>
      </c>
      <c r="R64" s="39" t="s">
        <v>145</v>
      </c>
    </row>
    <row r="65" customFormat="false" ht="35.05" hidden="false" customHeight="false" outlineLevel="0" collapsed="false">
      <c r="A65" s="37" t="s">
        <v>470</v>
      </c>
      <c r="B65" s="37" t="s">
        <v>452</v>
      </c>
      <c r="C65" s="38" t="s">
        <v>471</v>
      </c>
      <c r="D65" s="37" t="s">
        <v>472</v>
      </c>
      <c r="E65" s="37" t="s">
        <v>473</v>
      </c>
      <c r="F65" s="37" t="s">
        <v>474</v>
      </c>
      <c r="G65" s="39" t="s">
        <v>468</v>
      </c>
      <c r="H65" s="39" t="s">
        <v>16</v>
      </c>
      <c r="I65" s="37" t="s">
        <v>208</v>
      </c>
      <c r="J65" s="39" t="s">
        <v>136</v>
      </c>
      <c r="K65" s="39" t="s">
        <v>24</v>
      </c>
      <c r="L65" s="39" t="s">
        <v>24</v>
      </c>
      <c r="M65" s="39" t="s">
        <v>24</v>
      </c>
      <c r="N65" s="39" t="s">
        <v>24</v>
      </c>
      <c r="O65" s="39" t="s">
        <v>24</v>
      </c>
      <c r="P65" s="39" t="s">
        <v>16</v>
      </c>
      <c r="Q65" s="39" t="s">
        <v>24</v>
      </c>
      <c r="R65" s="39" t="s">
        <v>145</v>
      </c>
    </row>
    <row r="66" customFormat="false" ht="23.85" hidden="false" customHeight="false" outlineLevel="0" collapsed="false">
      <c r="A66" s="37" t="s">
        <v>475</v>
      </c>
      <c r="B66" s="37" t="s">
        <v>452</v>
      </c>
      <c r="C66" s="38" t="s">
        <v>476</v>
      </c>
      <c r="D66" s="37" t="s">
        <v>477</v>
      </c>
      <c r="E66" s="37" t="s">
        <v>478</v>
      </c>
      <c r="F66" s="37" t="s">
        <v>479</v>
      </c>
      <c r="G66" s="39" t="s">
        <v>134</v>
      </c>
      <c r="H66" s="39" t="s">
        <v>480</v>
      </c>
      <c r="I66" s="37" t="s">
        <v>481</v>
      </c>
      <c r="J66" s="39" t="s">
        <v>144</v>
      </c>
      <c r="K66" s="39" t="s">
        <v>24</v>
      </c>
      <c r="L66" s="39" t="s">
        <v>24</v>
      </c>
      <c r="M66" s="39" t="s">
        <v>24</v>
      </c>
      <c r="N66" s="39" t="s">
        <v>24</v>
      </c>
      <c r="O66" s="39" t="s">
        <v>24</v>
      </c>
      <c r="P66" s="39" t="s">
        <v>24</v>
      </c>
      <c r="Q66" s="39" t="s">
        <v>16</v>
      </c>
      <c r="R66" s="39" t="s">
        <v>145</v>
      </c>
    </row>
    <row r="67" customFormat="false" ht="23.85" hidden="false" customHeight="false" outlineLevel="0" collapsed="false">
      <c r="A67" s="37" t="s">
        <v>482</v>
      </c>
      <c r="B67" s="37" t="s">
        <v>452</v>
      </c>
      <c r="C67" s="38" t="s">
        <v>483</v>
      </c>
      <c r="D67" s="37" t="s">
        <v>484</v>
      </c>
      <c r="E67" s="37" t="s">
        <v>485</v>
      </c>
      <c r="F67" s="37" t="s">
        <v>486</v>
      </c>
      <c r="G67" s="39" t="s">
        <v>487</v>
      </c>
      <c r="H67" s="39" t="s">
        <v>52</v>
      </c>
      <c r="I67" s="37" t="s">
        <v>488</v>
      </c>
      <c r="J67" s="39" t="s">
        <v>136</v>
      </c>
      <c r="K67" s="39" t="s">
        <v>24</v>
      </c>
      <c r="L67" s="39" t="s">
        <v>24</v>
      </c>
      <c r="M67" s="39" t="s">
        <v>24</v>
      </c>
      <c r="N67" s="39" t="s">
        <v>16</v>
      </c>
      <c r="O67" s="39" t="s">
        <v>16</v>
      </c>
      <c r="P67" s="39" t="s">
        <v>16</v>
      </c>
      <c r="Q67" s="39" t="s">
        <v>16</v>
      </c>
      <c r="R67" s="39" t="s">
        <v>145</v>
      </c>
    </row>
    <row r="68" customFormat="false" ht="23.85" hidden="false" customHeight="false" outlineLevel="0" collapsed="false">
      <c r="A68" s="37" t="s">
        <v>489</v>
      </c>
      <c r="B68" s="37" t="s">
        <v>452</v>
      </c>
      <c r="C68" s="38" t="s">
        <v>490</v>
      </c>
      <c r="D68" s="37" t="s">
        <v>491</v>
      </c>
      <c r="E68" s="37" t="s">
        <v>492</v>
      </c>
      <c r="F68" s="37" t="s">
        <v>52</v>
      </c>
      <c r="G68" s="39" t="s">
        <v>134</v>
      </c>
      <c r="H68" s="39" t="s">
        <v>52</v>
      </c>
      <c r="I68" s="37" t="s">
        <v>52</v>
      </c>
      <c r="J68" s="39" t="s">
        <v>136</v>
      </c>
      <c r="K68" s="39" t="s">
        <v>24</v>
      </c>
      <c r="L68" s="39" t="s">
        <v>24</v>
      </c>
      <c r="M68" s="39" t="s">
        <v>24</v>
      </c>
      <c r="N68" s="39" t="s">
        <v>24</v>
      </c>
      <c r="O68" s="39" t="s">
        <v>22</v>
      </c>
      <c r="P68" s="39" t="s">
        <v>16</v>
      </c>
      <c r="Q68" s="39" t="s">
        <v>16</v>
      </c>
      <c r="R68" s="39" t="s">
        <v>145</v>
      </c>
    </row>
    <row r="69" customFormat="false" ht="15" hidden="false" customHeight="false" outlineLevel="0" collapsed="false">
      <c r="A69" s="37" t="s">
        <v>493</v>
      </c>
      <c r="B69" s="37" t="s">
        <v>452</v>
      </c>
      <c r="C69" s="38" t="s">
        <v>494</v>
      </c>
      <c r="D69" s="37" t="s">
        <v>495</v>
      </c>
      <c r="E69" s="37" t="s">
        <v>496</v>
      </c>
      <c r="F69" s="37" t="s">
        <v>497</v>
      </c>
      <c r="G69" s="39" t="s">
        <v>143</v>
      </c>
      <c r="H69" s="39" t="s">
        <v>16</v>
      </c>
      <c r="I69" s="37" t="s">
        <v>52</v>
      </c>
      <c r="J69" s="39" t="s">
        <v>144</v>
      </c>
      <c r="K69" s="39" t="s">
        <v>24</v>
      </c>
      <c r="L69" s="39" t="s">
        <v>24</v>
      </c>
      <c r="M69" s="39" t="s">
        <v>24</v>
      </c>
      <c r="N69" s="39" t="s">
        <v>24</v>
      </c>
      <c r="O69" s="39" t="s">
        <v>18</v>
      </c>
      <c r="P69" s="39" t="s">
        <v>16</v>
      </c>
      <c r="Q69" s="39" t="s">
        <v>16</v>
      </c>
      <c r="R69" s="39" t="s">
        <v>145</v>
      </c>
    </row>
    <row r="70" customFormat="false" ht="35.05" hidden="false" customHeight="false" outlineLevel="0" collapsed="false">
      <c r="A70" s="37" t="s">
        <v>498</v>
      </c>
      <c r="B70" s="37" t="s">
        <v>452</v>
      </c>
      <c r="C70" s="38" t="s">
        <v>499</v>
      </c>
      <c r="D70" s="37" t="s">
        <v>500</v>
      </c>
      <c r="E70" s="37" t="s">
        <v>501</v>
      </c>
      <c r="F70" s="37" t="s">
        <v>502</v>
      </c>
      <c r="G70" s="39" t="s">
        <v>143</v>
      </c>
      <c r="H70" s="39" t="s">
        <v>52</v>
      </c>
      <c r="I70" s="37" t="s">
        <v>503</v>
      </c>
      <c r="J70" s="39" t="s">
        <v>304</v>
      </c>
      <c r="K70" s="39" t="s">
        <v>24</v>
      </c>
      <c r="L70" s="39" t="s">
        <v>24</v>
      </c>
      <c r="M70" s="39" t="s">
        <v>24</v>
      </c>
      <c r="N70" s="39" t="s">
        <v>24</v>
      </c>
      <c r="O70" s="39" t="s">
        <v>24</v>
      </c>
      <c r="P70" s="39" t="s">
        <v>18</v>
      </c>
      <c r="Q70" s="39" t="s">
        <v>16</v>
      </c>
      <c r="R70" s="39" t="s">
        <v>145</v>
      </c>
    </row>
    <row r="71" customFormat="false" ht="15" hidden="false" customHeight="false" outlineLevel="0" collapsed="false">
      <c r="A71" s="37" t="s">
        <v>504</v>
      </c>
      <c r="B71" s="37" t="s">
        <v>452</v>
      </c>
      <c r="C71" s="38" t="s">
        <v>505</v>
      </c>
      <c r="D71" s="37" t="s">
        <v>506</v>
      </c>
      <c r="E71" s="37" t="s">
        <v>507</v>
      </c>
      <c r="F71" s="37" t="s">
        <v>508</v>
      </c>
      <c r="G71" s="39" t="s">
        <v>134</v>
      </c>
      <c r="H71" s="39" t="s">
        <v>52</v>
      </c>
      <c r="I71" s="37" t="s">
        <v>52</v>
      </c>
      <c r="J71" s="39" t="s">
        <v>144</v>
      </c>
      <c r="K71" s="39" t="s">
        <v>24</v>
      </c>
      <c r="L71" s="39" t="s">
        <v>24</v>
      </c>
      <c r="M71" s="39" t="s">
        <v>24</v>
      </c>
      <c r="N71" s="39" t="s">
        <v>24</v>
      </c>
      <c r="O71" s="39" t="s">
        <v>24</v>
      </c>
      <c r="P71" s="39" t="s">
        <v>16</v>
      </c>
      <c r="Q71" s="39" t="s">
        <v>16</v>
      </c>
      <c r="R71" s="39" t="s">
        <v>145</v>
      </c>
    </row>
    <row r="72" customFormat="false" ht="35.05" hidden="false" customHeight="false" outlineLevel="0" collapsed="false">
      <c r="A72" s="37" t="s">
        <v>509</v>
      </c>
      <c r="B72" s="37" t="s">
        <v>452</v>
      </c>
      <c r="C72" s="38" t="s">
        <v>510</v>
      </c>
      <c r="D72" s="37" t="s">
        <v>511</v>
      </c>
      <c r="E72" s="37" t="s">
        <v>512</v>
      </c>
      <c r="F72" s="37" t="s">
        <v>513</v>
      </c>
      <c r="G72" s="39" t="s">
        <v>468</v>
      </c>
      <c r="H72" s="39" t="s">
        <v>24</v>
      </c>
      <c r="I72" s="37" t="s">
        <v>514</v>
      </c>
      <c r="J72" s="39" t="s">
        <v>136</v>
      </c>
      <c r="K72" s="39" t="s">
        <v>24</v>
      </c>
      <c r="L72" s="39" t="s">
        <v>24</v>
      </c>
      <c r="M72" s="39" t="s">
        <v>24</v>
      </c>
      <c r="N72" s="39" t="s">
        <v>24</v>
      </c>
      <c r="O72" s="39" t="s">
        <v>24</v>
      </c>
      <c r="P72" s="39" t="s">
        <v>16</v>
      </c>
      <c r="Q72" s="39" t="s">
        <v>16</v>
      </c>
      <c r="R72" s="39" t="s">
        <v>145</v>
      </c>
    </row>
    <row r="73" customFormat="false" ht="23.85" hidden="false" customHeight="false" outlineLevel="0" collapsed="false">
      <c r="A73" s="37" t="s">
        <v>515</v>
      </c>
      <c r="B73" s="37" t="s">
        <v>452</v>
      </c>
      <c r="C73" s="38" t="s">
        <v>516</v>
      </c>
      <c r="D73" s="37" t="s">
        <v>517</v>
      </c>
      <c r="E73" s="37" t="s">
        <v>518</v>
      </c>
      <c r="F73" s="37" t="s">
        <v>519</v>
      </c>
      <c r="G73" s="39" t="s">
        <v>52</v>
      </c>
      <c r="H73" s="39" t="s">
        <v>24</v>
      </c>
      <c r="I73" s="37" t="s">
        <v>52</v>
      </c>
      <c r="J73" s="39" t="s">
        <v>136</v>
      </c>
      <c r="K73" s="39" t="s">
        <v>24</v>
      </c>
      <c r="L73" s="39" t="s">
        <v>24</v>
      </c>
      <c r="M73" s="39" t="s">
        <v>24</v>
      </c>
      <c r="N73" s="39" t="s">
        <v>16</v>
      </c>
      <c r="O73" s="39" t="s">
        <v>16</v>
      </c>
      <c r="P73" s="39" t="s">
        <v>16</v>
      </c>
      <c r="Q73" s="39" t="s">
        <v>16</v>
      </c>
      <c r="R73" s="39" t="s">
        <v>145</v>
      </c>
    </row>
    <row r="74" customFormat="false" ht="23.85" hidden="false" customHeight="false" outlineLevel="0" collapsed="false">
      <c r="A74" s="37" t="s">
        <v>520</v>
      </c>
      <c r="B74" s="37" t="s">
        <v>521</v>
      </c>
      <c r="C74" s="38" t="s">
        <v>522</v>
      </c>
      <c r="D74" s="37" t="s">
        <v>523</v>
      </c>
      <c r="E74" s="37" t="s">
        <v>524</v>
      </c>
      <c r="F74" s="37" t="s">
        <v>525</v>
      </c>
      <c r="G74" s="39" t="s">
        <v>134</v>
      </c>
      <c r="H74" s="39" t="s">
        <v>526</v>
      </c>
      <c r="I74" s="37" t="s">
        <v>527</v>
      </c>
      <c r="J74" s="39" t="s">
        <v>144</v>
      </c>
      <c r="K74" s="39" t="s">
        <v>24</v>
      </c>
      <c r="L74" s="39" t="s">
        <v>24</v>
      </c>
      <c r="M74" s="39" t="s">
        <v>24</v>
      </c>
      <c r="N74" s="39" t="s">
        <v>24</v>
      </c>
      <c r="O74" s="39" t="s">
        <v>24</v>
      </c>
      <c r="P74" s="39" t="s">
        <v>16</v>
      </c>
      <c r="Q74" s="39" t="s">
        <v>16</v>
      </c>
      <c r="R74" s="39" t="s">
        <v>145</v>
      </c>
    </row>
    <row r="75" customFormat="false" ht="15" hidden="false" customHeight="false" outlineLevel="0" collapsed="false">
      <c r="A75" s="37" t="s">
        <v>528</v>
      </c>
      <c r="B75" s="37" t="s">
        <v>521</v>
      </c>
      <c r="C75" s="38" t="s">
        <v>529</v>
      </c>
      <c r="D75" s="37" t="s">
        <v>530</v>
      </c>
      <c r="E75" s="37" t="s">
        <v>531</v>
      </c>
      <c r="F75" s="37" t="s">
        <v>52</v>
      </c>
      <c r="G75" s="39" t="s">
        <v>275</v>
      </c>
      <c r="H75" s="39" t="s">
        <v>16</v>
      </c>
      <c r="I75" s="37" t="s">
        <v>52</v>
      </c>
      <c r="J75" s="39" t="s">
        <v>144</v>
      </c>
      <c r="K75" s="39" t="s">
        <v>24</v>
      </c>
      <c r="L75" s="39" t="s">
        <v>24</v>
      </c>
      <c r="M75" s="39" t="s">
        <v>24</v>
      </c>
      <c r="N75" s="39" t="s">
        <v>24</v>
      </c>
      <c r="O75" s="39" t="s">
        <v>18</v>
      </c>
      <c r="P75" s="39" t="s">
        <v>16</v>
      </c>
      <c r="Q75" s="39" t="s">
        <v>16</v>
      </c>
      <c r="R75" s="39" t="s">
        <v>145</v>
      </c>
    </row>
    <row r="76" customFormat="false" ht="23.85" hidden="false" customHeight="false" outlineLevel="0" collapsed="false">
      <c r="A76" s="37" t="s">
        <v>532</v>
      </c>
      <c r="B76" s="37" t="s">
        <v>521</v>
      </c>
      <c r="C76" s="38" t="s">
        <v>533</v>
      </c>
      <c r="D76" s="37" t="s">
        <v>534</v>
      </c>
      <c r="E76" s="37" t="s">
        <v>535</v>
      </c>
      <c r="F76" s="37" t="s">
        <v>52</v>
      </c>
      <c r="G76" s="39" t="s">
        <v>143</v>
      </c>
      <c r="H76" s="39" t="s">
        <v>526</v>
      </c>
      <c r="I76" s="37" t="s">
        <v>52</v>
      </c>
      <c r="J76" s="39" t="s">
        <v>304</v>
      </c>
      <c r="K76" s="39" t="s">
        <v>24</v>
      </c>
      <c r="L76" s="39" t="s">
        <v>24</v>
      </c>
      <c r="M76" s="39" t="s">
        <v>24</v>
      </c>
      <c r="N76" s="39" t="s">
        <v>24</v>
      </c>
      <c r="O76" s="39" t="s">
        <v>24</v>
      </c>
      <c r="P76" s="39" t="s">
        <v>16</v>
      </c>
      <c r="Q76" s="39" t="s">
        <v>16</v>
      </c>
      <c r="R76" s="39" t="s">
        <v>145</v>
      </c>
    </row>
    <row r="77" customFormat="false" ht="23.85" hidden="false" customHeight="false" outlineLevel="0" collapsed="false">
      <c r="A77" s="37" t="s">
        <v>536</v>
      </c>
      <c r="B77" s="37" t="s">
        <v>521</v>
      </c>
      <c r="C77" s="38" t="s">
        <v>537</v>
      </c>
      <c r="D77" s="37" t="s">
        <v>538</v>
      </c>
      <c r="E77" s="37" t="s">
        <v>539</v>
      </c>
      <c r="F77" s="37" t="s">
        <v>52</v>
      </c>
      <c r="G77" s="39" t="s">
        <v>143</v>
      </c>
      <c r="H77" s="39" t="s">
        <v>16</v>
      </c>
      <c r="I77" s="37" t="s">
        <v>52</v>
      </c>
      <c r="J77" s="39" t="s">
        <v>304</v>
      </c>
      <c r="K77" s="39" t="s">
        <v>24</v>
      </c>
      <c r="L77" s="39" t="s">
        <v>24</v>
      </c>
      <c r="M77" s="39" t="s">
        <v>24</v>
      </c>
      <c r="N77" s="39" t="s">
        <v>24</v>
      </c>
      <c r="O77" s="39" t="s">
        <v>24</v>
      </c>
      <c r="P77" s="39" t="s">
        <v>18</v>
      </c>
      <c r="Q77" s="39" t="s">
        <v>16</v>
      </c>
      <c r="R77" s="39" t="s">
        <v>145</v>
      </c>
    </row>
    <row r="78" customFormat="false" ht="23.85" hidden="false" customHeight="false" outlineLevel="0" collapsed="false">
      <c r="A78" s="37" t="s">
        <v>540</v>
      </c>
      <c r="B78" s="37" t="s">
        <v>521</v>
      </c>
      <c r="C78" s="38" t="s">
        <v>541</v>
      </c>
      <c r="D78" s="37" t="s">
        <v>542</v>
      </c>
      <c r="E78" s="37" t="s">
        <v>543</v>
      </c>
      <c r="F78" s="37" t="s">
        <v>544</v>
      </c>
      <c r="G78" s="39" t="s">
        <v>134</v>
      </c>
      <c r="H78" s="39" t="s">
        <v>24</v>
      </c>
      <c r="I78" s="37" t="s">
        <v>545</v>
      </c>
      <c r="J78" s="39" t="s">
        <v>144</v>
      </c>
      <c r="K78" s="39" t="s">
        <v>24</v>
      </c>
      <c r="L78" s="39" t="s">
        <v>24</v>
      </c>
      <c r="M78" s="39" t="s">
        <v>24</v>
      </c>
      <c r="N78" s="39" t="s">
        <v>24</v>
      </c>
      <c r="O78" s="39" t="s">
        <v>24</v>
      </c>
      <c r="P78" s="39" t="s">
        <v>16</v>
      </c>
      <c r="Q78" s="39" t="s">
        <v>16</v>
      </c>
      <c r="R78" s="39" t="s">
        <v>145</v>
      </c>
    </row>
    <row r="79" customFormat="false" ht="23.85" hidden="false" customHeight="false" outlineLevel="0" collapsed="false">
      <c r="A79" s="37" t="s">
        <v>546</v>
      </c>
      <c r="B79" s="37" t="s">
        <v>521</v>
      </c>
      <c r="C79" s="38" t="s">
        <v>547</v>
      </c>
      <c r="D79" s="37" t="s">
        <v>548</v>
      </c>
      <c r="E79" s="37" t="s">
        <v>549</v>
      </c>
      <c r="F79" s="37" t="s">
        <v>52</v>
      </c>
      <c r="G79" s="39" t="s">
        <v>134</v>
      </c>
      <c r="H79" s="39" t="s">
        <v>24</v>
      </c>
      <c r="I79" s="37" t="s">
        <v>52</v>
      </c>
      <c r="J79" s="39" t="s">
        <v>136</v>
      </c>
      <c r="K79" s="39" t="s">
        <v>16</v>
      </c>
      <c r="L79" s="39" t="s">
        <v>16</v>
      </c>
      <c r="M79" s="39" t="s">
        <v>16</v>
      </c>
      <c r="N79" s="39" t="s">
        <v>16</v>
      </c>
      <c r="O79" s="39" t="s">
        <v>16</v>
      </c>
      <c r="P79" s="39" t="s">
        <v>16</v>
      </c>
      <c r="Q79" s="39" t="s">
        <v>16</v>
      </c>
      <c r="R79" s="39" t="s">
        <v>137</v>
      </c>
    </row>
    <row r="80" customFormat="false" ht="15" hidden="false" customHeight="false" outlineLevel="0" collapsed="false">
      <c r="A80" s="37" t="s">
        <v>550</v>
      </c>
      <c r="B80" s="37" t="s">
        <v>551</v>
      </c>
      <c r="C80" s="38" t="s">
        <v>552</v>
      </c>
      <c r="D80" s="37" t="s">
        <v>553</v>
      </c>
      <c r="E80" s="37" t="s">
        <v>554</v>
      </c>
      <c r="F80" s="37" t="s">
        <v>555</v>
      </c>
      <c r="G80" s="39" t="s">
        <v>52</v>
      </c>
      <c r="H80" s="39" t="s">
        <v>16</v>
      </c>
      <c r="I80" s="37" t="s">
        <v>52</v>
      </c>
      <c r="J80" s="39" t="s">
        <v>136</v>
      </c>
      <c r="K80" s="39" t="s">
        <v>16</v>
      </c>
      <c r="L80" s="39" t="s">
        <v>16</v>
      </c>
      <c r="M80" s="39" t="s">
        <v>16</v>
      </c>
      <c r="N80" s="39" t="s">
        <v>16</v>
      </c>
      <c r="O80" s="39" t="s">
        <v>16</v>
      </c>
      <c r="P80" s="39" t="s">
        <v>16</v>
      </c>
      <c r="Q80" s="39" t="s">
        <v>16</v>
      </c>
      <c r="R80" s="39" t="s">
        <v>145</v>
      </c>
    </row>
    <row r="81" customFormat="false" ht="15" hidden="false" customHeight="false" outlineLevel="0" collapsed="false">
      <c r="A81" s="37" t="s">
        <v>556</v>
      </c>
      <c r="B81" s="37" t="s">
        <v>551</v>
      </c>
      <c r="C81" s="38" t="s">
        <v>557</v>
      </c>
      <c r="D81" s="37" t="s">
        <v>558</v>
      </c>
      <c r="E81" s="37" t="s">
        <v>559</v>
      </c>
      <c r="F81" s="37" t="s">
        <v>52</v>
      </c>
      <c r="G81" s="39" t="s">
        <v>52</v>
      </c>
      <c r="H81" s="39" t="s">
        <v>16</v>
      </c>
      <c r="I81" s="37" t="s">
        <v>52</v>
      </c>
      <c r="J81" s="39" t="s">
        <v>136</v>
      </c>
      <c r="K81" s="39" t="s">
        <v>16</v>
      </c>
      <c r="L81" s="39" t="s">
        <v>16</v>
      </c>
      <c r="M81" s="39" t="s">
        <v>16</v>
      </c>
      <c r="N81" s="39" t="s">
        <v>16</v>
      </c>
      <c r="O81" s="39" t="s">
        <v>16</v>
      </c>
      <c r="P81" s="39" t="s">
        <v>16</v>
      </c>
      <c r="Q81" s="39" t="s">
        <v>16</v>
      </c>
      <c r="R81" s="39" t="s">
        <v>145</v>
      </c>
    </row>
    <row r="82" customFormat="false" ht="15" hidden="false" customHeight="false" outlineLevel="0" collapsed="false">
      <c r="A82" s="37" t="s">
        <v>560</v>
      </c>
      <c r="B82" s="37" t="s">
        <v>551</v>
      </c>
      <c r="C82" s="38" t="s">
        <v>561</v>
      </c>
      <c r="D82" s="37" t="s">
        <v>562</v>
      </c>
      <c r="E82" s="37" t="s">
        <v>563</v>
      </c>
      <c r="F82" s="37" t="s">
        <v>52</v>
      </c>
      <c r="G82" s="39" t="s">
        <v>143</v>
      </c>
      <c r="H82" s="39" t="s">
        <v>52</v>
      </c>
      <c r="I82" s="37" t="s">
        <v>52</v>
      </c>
      <c r="J82" s="39" t="s">
        <v>144</v>
      </c>
      <c r="K82" s="39" t="s">
        <v>16</v>
      </c>
      <c r="L82" s="39" t="s">
        <v>16</v>
      </c>
      <c r="M82" s="39" t="s">
        <v>16</v>
      </c>
      <c r="N82" s="39" t="s">
        <v>16</v>
      </c>
      <c r="O82" s="39" t="s">
        <v>16</v>
      </c>
      <c r="P82" s="39" t="s">
        <v>16</v>
      </c>
      <c r="Q82" s="39" t="s">
        <v>16</v>
      </c>
      <c r="R82" s="39" t="s">
        <v>145</v>
      </c>
    </row>
    <row r="83" customFormat="false" ht="15" hidden="false" customHeight="false" outlineLevel="0" collapsed="false">
      <c r="A83" s="37" t="s">
        <v>564</v>
      </c>
      <c r="B83" s="37" t="s">
        <v>551</v>
      </c>
      <c r="C83" s="38" t="s">
        <v>565</v>
      </c>
      <c r="D83" s="37" t="s">
        <v>566</v>
      </c>
      <c r="E83" s="37" t="s">
        <v>567</v>
      </c>
      <c r="F83" s="37" t="s">
        <v>52</v>
      </c>
      <c r="G83" s="39" t="s">
        <v>52</v>
      </c>
      <c r="H83" s="39" t="s">
        <v>52</v>
      </c>
      <c r="I83" s="37" t="s">
        <v>568</v>
      </c>
      <c r="J83" s="39" t="s">
        <v>144</v>
      </c>
      <c r="K83" s="39" t="s">
        <v>16</v>
      </c>
      <c r="L83" s="39" t="s">
        <v>16</v>
      </c>
      <c r="M83" s="39" t="s">
        <v>24</v>
      </c>
      <c r="N83" s="39" t="s">
        <v>24</v>
      </c>
      <c r="O83" s="39" t="s">
        <v>24</v>
      </c>
      <c r="P83" s="39" t="s">
        <v>24</v>
      </c>
      <c r="Q83" s="39" t="s">
        <v>24</v>
      </c>
      <c r="R83" s="39" t="s">
        <v>145</v>
      </c>
    </row>
    <row r="84" customFormat="false" ht="15" hidden="false" customHeight="false" outlineLevel="0" collapsed="false">
      <c r="A84" s="37" t="s">
        <v>569</v>
      </c>
      <c r="B84" s="37" t="s">
        <v>551</v>
      </c>
      <c r="C84" s="38" t="s">
        <v>570</v>
      </c>
      <c r="D84" s="37" t="s">
        <v>571</v>
      </c>
      <c r="E84" s="37" t="s">
        <v>572</v>
      </c>
      <c r="F84" s="37" t="s">
        <v>52</v>
      </c>
      <c r="G84" s="39" t="s">
        <v>52</v>
      </c>
      <c r="H84" s="39" t="s">
        <v>16</v>
      </c>
      <c r="I84" s="37" t="s">
        <v>52</v>
      </c>
      <c r="J84" s="39" t="s">
        <v>144</v>
      </c>
      <c r="K84" s="39" t="s">
        <v>16</v>
      </c>
      <c r="L84" s="39" t="s">
        <v>16</v>
      </c>
      <c r="M84" s="39" t="s">
        <v>16</v>
      </c>
      <c r="N84" s="39" t="s">
        <v>24</v>
      </c>
      <c r="O84" s="39" t="s">
        <v>24</v>
      </c>
      <c r="P84" s="39" t="s">
        <v>24</v>
      </c>
      <c r="Q84" s="39" t="s">
        <v>24</v>
      </c>
      <c r="R84" s="39" t="s">
        <v>145</v>
      </c>
    </row>
    <row r="85" customFormat="false" ht="15" hidden="false" customHeight="false" outlineLevel="0" collapsed="false">
      <c r="A85" s="37" t="s">
        <v>573</v>
      </c>
      <c r="B85" s="37" t="s">
        <v>551</v>
      </c>
      <c r="C85" s="38" t="s">
        <v>574</v>
      </c>
      <c r="D85" s="37" t="s">
        <v>575</v>
      </c>
      <c r="E85" s="37" t="s">
        <v>576</v>
      </c>
      <c r="F85" s="37" t="s">
        <v>577</v>
      </c>
      <c r="G85" s="39" t="s">
        <v>52</v>
      </c>
      <c r="H85" s="39" t="s">
        <v>52</v>
      </c>
      <c r="I85" s="37" t="s">
        <v>578</v>
      </c>
      <c r="J85" s="39" t="s">
        <v>144</v>
      </c>
      <c r="K85" s="39" t="s">
        <v>16</v>
      </c>
      <c r="L85" s="39" t="s">
        <v>16</v>
      </c>
      <c r="M85" s="39" t="s">
        <v>16</v>
      </c>
      <c r="N85" s="39" t="s">
        <v>16</v>
      </c>
      <c r="O85" s="39" t="s">
        <v>16</v>
      </c>
      <c r="P85" s="39" t="s">
        <v>16</v>
      </c>
      <c r="Q85" s="39" t="s">
        <v>16</v>
      </c>
      <c r="R85" s="39" t="s">
        <v>145</v>
      </c>
    </row>
    <row r="86" customFormat="false" ht="23.85" hidden="false" customHeight="false" outlineLevel="0" collapsed="false">
      <c r="A86" s="37" t="s">
        <v>579</v>
      </c>
      <c r="B86" s="37" t="s">
        <v>580</v>
      </c>
      <c r="C86" s="38" t="s">
        <v>581</v>
      </c>
      <c r="D86" s="37" t="s">
        <v>582</v>
      </c>
      <c r="E86" s="37" t="s">
        <v>583</v>
      </c>
      <c r="F86" s="37" t="s">
        <v>584</v>
      </c>
      <c r="G86" s="39" t="s">
        <v>134</v>
      </c>
      <c r="H86" s="39" t="s">
        <v>52</v>
      </c>
      <c r="I86" s="37" t="s">
        <v>52</v>
      </c>
      <c r="J86" s="39" t="s">
        <v>136</v>
      </c>
      <c r="K86" s="39" t="s">
        <v>24</v>
      </c>
      <c r="L86" s="39" t="s">
        <v>24</v>
      </c>
      <c r="M86" s="39" t="s">
        <v>24</v>
      </c>
      <c r="N86" s="39" t="s">
        <v>16</v>
      </c>
      <c r="O86" s="39" t="s">
        <v>16</v>
      </c>
      <c r="P86" s="39" t="s">
        <v>16</v>
      </c>
      <c r="Q86" s="39" t="s">
        <v>16</v>
      </c>
      <c r="R86" s="39" t="s">
        <v>137</v>
      </c>
    </row>
    <row r="87" customFormat="false" ht="23.85" hidden="false" customHeight="false" outlineLevel="0" collapsed="false">
      <c r="A87" s="37" t="s">
        <v>585</v>
      </c>
      <c r="B87" s="37" t="s">
        <v>580</v>
      </c>
      <c r="C87" s="38" t="s">
        <v>586</v>
      </c>
      <c r="D87" s="37" t="s">
        <v>587</v>
      </c>
      <c r="E87" s="37" t="s">
        <v>588</v>
      </c>
      <c r="F87" s="37" t="s">
        <v>589</v>
      </c>
      <c r="G87" s="39" t="s">
        <v>134</v>
      </c>
      <c r="H87" s="39" t="s">
        <v>52</v>
      </c>
      <c r="I87" s="37" t="s">
        <v>52</v>
      </c>
      <c r="J87" s="39" t="s">
        <v>136</v>
      </c>
      <c r="K87" s="39" t="s">
        <v>24</v>
      </c>
      <c r="L87" s="39" t="s">
        <v>24</v>
      </c>
      <c r="M87" s="39" t="s">
        <v>24</v>
      </c>
      <c r="N87" s="39" t="s">
        <v>24</v>
      </c>
      <c r="O87" s="39" t="s">
        <v>16</v>
      </c>
      <c r="P87" s="39" t="s">
        <v>16</v>
      </c>
      <c r="Q87" s="39" t="s">
        <v>16</v>
      </c>
      <c r="R87" s="39" t="s">
        <v>137</v>
      </c>
    </row>
    <row r="88" customFormat="false" ht="23.85" hidden="false" customHeight="false" outlineLevel="0" collapsed="false">
      <c r="A88" s="37" t="s">
        <v>590</v>
      </c>
      <c r="B88" s="37" t="s">
        <v>580</v>
      </c>
      <c r="C88" s="38" t="s">
        <v>591</v>
      </c>
      <c r="D88" s="37" t="s">
        <v>592</v>
      </c>
      <c r="E88" s="37" t="s">
        <v>593</v>
      </c>
      <c r="F88" s="37" t="s">
        <v>52</v>
      </c>
      <c r="G88" s="39" t="s">
        <v>134</v>
      </c>
      <c r="H88" s="39" t="s">
        <v>52</v>
      </c>
      <c r="I88" s="37" t="s">
        <v>52</v>
      </c>
      <c r="J88" s="39" t="s">
        <v>136</v>
      </c>
      <c r="K88" s="39" t="s">
        <v>24</v>
      </c>
      <c r="L88" s="39" t="s">
        <v>24</v>
      </c>
      <c r="M88" s="39" t="s">
        <v>24</v>
      </c>
      <c r="N88" s="39" t="s">
        <v>16</v>
      </c>
      <c r="O88" s="39" t="s">
        <v>16</v>
      </c>
      <c r="P88" s="39" t="s">
        <v>16</v>
      </c>
      <c r="Q88" s="39" t="s">
        <v>16</v>
      </c>
      <c r="R88" s="39" t="s">
        <v>145</v>
      </c>
    </row>
    <row r="89" customFormat="false" ht="23.85" hidden="false" customHeight="false" outlineLevel="0" collapsed="false">
      <c r="A89" s="37" t="s">
        <v>594</v>
      </c>
      <c r="B89" s="37" t="s">
        <v>580</v>
      </c>
      <c r="C89" s="38" t="s">
        <v>595</v>
      </c>
      <c r="D89" s="37" t="s">
        <v>596</v>
      </c>
      <c r="E89" s="37" t="s">
        <v>597</v>
      </c>
      <c r="F89" s="37" t="s">
        <v>52</v>
      </c>
      <c r="G89" s="39" t="s">
        <v>134</v>
      </c>
      <c r="H89" s="39" t="s">
        <v>16</v>
      </c>
      <c r="I89" s="37" t="s">
        <v>52</v>
      </c>
      <c r="J89" s="39" t="s">
        <v>144</v>
      </c>
      <c r="K89" s="39" t="s">
        <v>24</v>
      </c>
      <c r="L89" s="39" t="s">
        <v>24</v>
      </c>
      <c r="M89" s="39" t="s">
        <v>24</v>
      </c>
      <c r="N89" s="39" t="s">
        <v>24</v>
      </c>
      <c r="O89" s="39" t="s">
        <v>16</v>
      </c>
      <c r="P89" s="39" t="s">
        <v>16</v>
      </c>
      <c r="Q89" s="39" t="s">
        <v>16</v>
      </c>
      <c r="R89" s="39" t="s">
        <v>145</v>
      </c>
    </row>
    <row r="90" customFormat="false" ht="23.85" hidden="false" customHeight="false" outlineLevel="0" collapsed="false">
      <c r="A90" s="37" t="s">
        <v>598</v>
      </c>
      <c r="B90" s="37" t="s">
        <v>580</v>
      </c>
      <c r="C90" s="38" t="s">
        <v>599</v>
      </c>
      <c r="D90" s="37" t="s">
        <v>600</v>
      </c>
      <c r="E90" s="37" t="s">
        <v>601</v>
      </c>
      <c r="F90" s="37" t="s">
        <v>602</v>
      </c>
      <c r="G90" s="39" t="s">
        <v>134</v>
      </c>
      <c r="H90" s="39" t="s">
        <v>52</v>
      </c>
      <c r="I90" s="37" t="s">
        <v>52</v>
      </c>
      <c r="J90" s="39" t="s">
        <v>144</v>
      </c>
      <c r="K90" s="39" t="s">
        <v>24</v>
      </c>
      <c r="L90" s="39" t="s">
        <v>24</v>
      </c>
      <c r="M90" s="39" t="s">
        <v>24</v>
      </c>
      <c r="N90" s="39" t="s">
        <v>24</v>
      </c>
      <c r="O90" s="39" t="s">
        <v>16</v>
      </c>
      <c r="P90" s="39" t="s">
        <v>16</v>
      </c>
      <c r="Q90" s="39" t="s">
        <v>16</v>
      </c>
      <c r="R90" s="39" t="s">
        <v>145</v>
      </c>
    </row>
    <row r="91" customFormat="false" ht="23.85" hidden="false" customHeight="false" outlineLevel="0" collapsed="false">
      <c r="A91" s="37" t="s">
        <v>603</v>
      </c>
      <c r="B91" s="37" t="s">
        <v>580</v>
      </c>
      <c r="C91" s="38" t="s">
        <v>604</v>
      </c>
      <c r="D91" s="37" t="s">
        <v>605</v>
      </c>
      <c r="E91" s="37" t="s">
        <v>606</v>
      </c>
      <c r="F91" s="37" t="s">
        <v>52</v>
      </c>
      <c r="G91" s="39" t="s">
        <v>134</v>
      </c>
      <c r="H91" s="39" t="s">
        <v>52</v>
      </c>
      <c r="I91" s="37" t="s">
        <v>52</v>
      </c>
      <c r="J91" s="39" t="s">
        <v>144</v>
      </c>
      <c r="K91" s="39" t="s">
        <v>24</v>
      </c>
      <c r="L91" s="39" t="s">
        <v>24</v>
      </c>
      <c r="M91" s="39" t="s">
        <v>24</v>
      </c>
      <c r="N91" s="39" t="s">
        <v>24</v>
      </c>
      <c r="O91" s="39" t="s">
        <v>24</v>
      </c>
      <c r="P91" s="39" t="s">
        <v>16</v>
      </c>
      <c r="Q91" s="39" t="s">
        <v>16</v>
      </c>
      <c r="R91" s="39" t="s">
        <v>145</v>
      </c>
    </row>
    <row r="92" customFormat="false" ht="23.85" hidden="false" customHeight="false" outlineLevel="0" collapsed="false">
      <c r="A92" s="37" t="s">
        <v>607</v>
      </c>
      <c r="B92" s="37" t="s">
        <v>580</v>
      </c>
      <c r="C92" s="38" t="s">
        <v>608</v>
      </c>
      <c r="D92" s="37" t="s">
        <v>609</v>
      </c>
      <c r="E92" s="37" t="s">
        <v>610</v>
      </c>
      <c r="F92" s="37" t="s">
        <v>52</v>
      </c>
      <c r="G92" s="39" t="s">
        <v>134</v>
      </c>
      <c r="H92" s="39" t="s">
        <v>52</v>
      </c>
      <c r="I92" s="37" t="s">
        <v>52</v>
      </c>
      <c r="J92" s="39" t="s">
        <v>304</v>
      </c>
      <c r="K92" s="39" t="s">
        <v>24</v>
      </c>
      <c r="L92" s="39" t="s">
        <v>24</v>
      </c>
      <c r="M92" s="39" t="s">
        <v>24</v>
      </c>
      <c r="N92" s="39" t="s">
        <v>16</v>
      </c>
      <c r="O92" s="39" t="s">
        <v>16</v>
      </c>
      <c r="P92" s="39" t="s">
        <v>16</v>
      </c>
      <c r="Q92" s="39" t="s">
        <v>16</v>
      </c>
      <c r="R92" s="39" t="s">
        <v>145</v>
      </c>
    </row>
    <row r="93" customFormat="false" ht="23.85" hidden="false" customHeight="false" outlineLevel="0" collapsed="false">
      <c r="A93" s="37" t="s">
        <v>611</v>
      </c>
      <c r="B93" s="37" t="s">
        <v>580</v>
      </c>
      <c r="C93" s="38" t="s">
        <v>612</v>
      </c>
      <c r="D93" s="37" t="s">
        <v>613</v>
      </c>
      <c r="E93" s="37" t="s">
        <v>614</v>
      </c>
      <c r="F93" s="37" t="s">
        <v>615</v>
      </c>
      <c r="G93" s="39" t="s">
        <v>143</v>
      </c>
      <c r="H93" s="39" t="s">
        <v>16</v>
      </c>
      <c r="I93" s="37" t="s">
        <v>52</v>
      </c>
      <c r="J93" s="39" t="s">
        <v>304</v>
      </c>
      <c r="K93" s="39" t="s">
        <v>24</v>
      </c>
      <c r="L93" s="39" t="s">
        <v>24</v>
      </c>
      <c r="M93" s="39" t="s">
        <v>24</v>
      </c>
      <c r="N93" s="39" t="s">
        <v>24</v>
      </c>
      <c r="O93" s="39" t="s">
        <v>24</v>
      </c>
      <c r="P93" s="39" t="s">
        <v>16</v>
      </c>
      <c r="Q93" s="39" t="s">
        <v>16</v>
      </c>
      <c r="R93" s="39" t="s">
        <v>145</v>
      </c>
    </row>
    <row r="94" customFormat="false" ht="23.85" hidden="false" customHeight="false" outlineLevel="0" collapsed="false">
      <c r="A94" s="37" t="s">
        <v>616</v>
      </c>
      <c r="B94" s="37" t="s">
        <v>580</v>
      </c>
      <c r="C94" s="38" t="s">
        <v>617</v>
      </c>
      <c r="D94" s="37" t="s">
        <v>618</v>
      </c>
      <c r="E94" s="37" t="s">
        <v>619</v>
      </c>
      <c r="F94" s="37" t="s">
        <v>52</v>
      </c>
      <c r="G94" s="39" t="s">
        <v>52</v>
      </c>
      <c r="H94" s="39" t="s">
        <v>16</v>
      </c>
      <c r="I94" s="37" t="s">
        <v>52</v>
      </c>
      <c r="J94" s="39" t="s">
        <v>144</v>
      </c>
      <c r="K94" s="39" t="s">
        <v>24</v>
      </c>
      <c r="L94" s="39" t="s">
        <v>24</v>
      </c>
      <c r="M94" s="39" t="s">
        <v>24</v>
      </c>
      <c r="N94" s="39" t="s">
        <v>16</v>
      </c>
      <c r="O94" s="39" t="s">
        <v>16</v>
      </c>
      <c r="P94" s="39" t="s">
        <v>16</v>
      </c>
      <c r="Q94" s="39" t="s">
        <v>16</v>
      </c>
      <c r="R94" s="39" t="s">
        <v>145</v>
      </c>
    </row>
    <row r="95" customFormat="false" ht="23.85" hidden="false" customHeight="false" outlineLevel="0" collapsed="false">
      <c r="A95" s="37" t="s">
        <v>620</v>
      </c>
      <c r="B95" s="37" t="s">
        <v>580</v>
      </c>
      <c r="C95" s="38" t="s">
        <v>621</v>
      </c>
      <c r="D95" s="37" t="s">
        <v>622</v>
      </c>
      <c r="E95" s="37" t="s">
        <v>623</v>
      </c>
      <c r="F95" s="37" t="s">
        <v>624</v>
      </c>
      <c r="G95" s="39" t="s">
        <v>143</v>
      </c>
      <c r="H95" s="39" t="s">
        <v>16</v>
      </c>
      <c r="I95" s="37" t="s">
        <v>52</v>
      </c>
      <c r="J95" s="39" t="s">
        <v>304</v>
      </c>
      <c r="K95" s="39" t="s">
        <v>24</v>
      </c>
      <c r="L95" s="39" t="s">
        <v>24</v>
      </c>
      <c r="M95" s="39" t="s">
        <v>24</v>
      </c>
      <c r="N95" s="39" t="s">
        <v>16</v>
      </c>
      <c r="O95" s="39" t="s">
        <v>16</v>
      </c>
      <c r="P95" s="39" t="s">
        <v>16</v>
      </c>
      <c r="Q95" s="39" t="s">
        <v>16</v>
      </c>
      <c r="R95" s="39" t="s">
        <v>145</v>
      </c>
    </row>
    <row r="96" customFormat="false" ht="23.85" hidden="false" customHeight="false" outlineLevel="0" collapsed="false">
      <c r="A96" s="37" t="s">
        <v>625</v>
      </c>
      <c r="B96" s="37" t="s">
        <v>626</v>
      </c>
      <c r="C96" s="38" t="s">
        <v>627</v>
      </c>
      <c r="D96" s="37" t="s">
        <v>628</v>
      </c>
      <c r="E96" s="37" t="s">
        <v>629</v>
      </c>
      <c r="F96" s="37" t="s">
        <v>630</v>
      </c>
      <c r="G96" s="39" t="s">
        <v>52</v>
      </c>
      <c r="H96" s="39" t="s">
        <v>24</v>
      </c>
      <c r="I96" s="37" t="s">
        <v>52</v>
      </c>
      <c r="J96" s="39" t="s">
        <v>136</v>
      </c>
      <c r="K96" s="39" t="s">
        <v>16</v>
      </c>
      <c r="L96" s="39" t="s">
        <v>16</v>
      </c>
      <c r="M96" s="39" t="s">
        <v>16</v>
      </c>
      <c r="N96" s="39" t="s">
        <v>16</v>
      </c>
      <c r="O96" s="39" t="s">
        <v>16</v>
      </c>
      <c r="P96" s="39" t="s">
        <v>16</v>
      </c>
      <c r="Q96" s="39" t="s">
        <v>16</v>
      </c>
      <c r="R96" s="39" t="s">
        <v>145</v>
      </c>
    </row>
    <row r="97" customFormat="false" ht="23.85" hidden="false" customHeight="false" outlineLevel="0" collapsed="false">
      <c r="A97" s="37" t="s">
        <v>631</v>
      </c>
      <c r="B97" s="37" t="s">
        <v>626</v>
      </c>
      <c r="C97" s="38" t="s">
        <v>632</v>
      </c>
      <c r="D97" s="37" t="s">
        <v>633</v>
      </c>
      <c r="E97" s="37" t="s">
        <v>634</v>
      </c>
      <c r="F97" s="37" t="s">
        <v>635</v>
      </c>
      <c r="G97" s="39" t="s">
        <v>52</v>
      </c>
      <c r="H97" s="39" t="s">
        <v>24</v>
      </c>
      <c r="I97" s="37" t="s">
        <v>52</v>
      </c>
      <c r="J97" s="39" t="s">
        <v>136</v>
      </c>
      <c r="K97" s="39" t="s">
        <v>24</v>
      </c>
      <c r="L97" s="39" t="s">
        <v>24</v>
      </c>
      <c r="M97" s="39" t="s">
        <v>24</v>
      </c>
      <c r="N97" s="39" t="s">
        <v>16</v>
      </c>
      <c r="O97" s="39" t="s">
        <v>16</v>
      </c>
      <c r="P97" s="39" t="s">
        <v>16</v>
      </c>
      <c r="Q97" s="39" t="s">
        <v>16</v>
      </c>
      <c r="R97" s="39" t="s">
        <v>145</v>
      </c>
    </row>
    <row r="98" customFormat="false" ht="23.85" hidden="false" customHeight="false" outlineLevel="0" collapsed="false">
      <c r="A98" s="37" t="s">
        <v>636</v>
      </c>
      <c r="B98" s="37" t="s">
        <v>626</v>
      </c>
      <c r="C98" s="38" t="s">
        <v>637</v>
      </c>
      <c r="D98" s="37" t="s">
        <v>638</v>
      </c>
      <c r="E98" s="37" t="s">
        <v>639</v>
      </c>
      <c r="F98" s="37" t="s">
        <v>52</v>
      </c>
      <c r="G98" s="39" t="s">
        <v>52</v>
      </c>
      <c r="H98" s="39" t="s">
        <v>24</v>
      </c>
      <c r="I98" s="37" t="s">
        <v>52</v>
      </c>
      <c r="J98" s="39" t="s">
        <v>136</v>
      </c>
      <c r="K98" s="39" t="s">
        <v>24</v>
      </c>
      <c r="L98" s="39" t="s">
        <v>24</v>
      </c>
      <c r="M98" s="39" t="s">
        <v>16</v>
      </c>
      <c r="N98" s="39" t="s">
        <v>16</v>
      </c>
      <c r="O98" s="39" t="s">
        <v>16</v>
      </c>
      <c r="P98" s="39" t="s">
        <v>16</v>
      </c>
      <c r="Q98" s="39" t="s">
        <v>16</v>
      </c>
      <c r="R98" s="39" t="s">
        <v>145</v>
      </c>
    </row>
    <row r="99" customFormat="false" ht="15" hidden="false" customHeight="false" outlineLevel="0" collapsed="false">
      <c r="A99" s="37" t="s">
        <v>640</v>
      </c>
      <c r="B99" s="37" t="s">
        <v>626</v>
      </c>
      <c r="C99" s="38" t="s">
        <v>641</v>
      </c>
      <c r="D99" s="37" t="s">
        <v>642</v>
      </c>
      <c r="E99" s="37" t="s">
        <v>643</v>
      </c>
      <c r="F99" s="37" t="s">
        <v>52</v>
      </c>
      <c r="G99" s="39" t="s">
        <v>134</v>
      </c>
      <c r="H99" s="39" t="s">
        <v>52</v>
      </c>
      <c r="I99" s="37" t="s">
        <v>52</v>
      </c>
      <c r="J99" s="39" t="s">
        <v>136</v>
      </c>
      <c r="K99" s="39" t="s">
        <v>16</v>
      </c>
      <c r="L99" s="39" t="s">
        <v>16</v>
      </c>
      <c r="M99" s="39" t="s">
        <v>16</v>
      </c>
      <c r="N99" s="39" t="s">
        <v>16</v>
      </c>
      <c r="O99" s="39" t="s">
        <v>16</v>
      </c>
      <c r="P99" s="39" t="s">
        <v>16</v>
      </c>
      <c r="Q99" s="39" t="s">
        <v>16</v>
      </c>
      <c r="R99" s="39" t="s">
        <v>145</v>
      </c>
    </row>
    <row r="100" customFormat="false" ht="23.85" hidden="false" customHeight="false" outlineLevel="0" collapsed="false">
      <c r="A100" s="37" t="s">
        <v>644</v>
      </c>
      <c r="B100" s="37" t="s">
        <v>626</v>
      </c>
      <c r="C100" s="38" t="s">
        <v>645</v>
      </c>
      <c r="D100" s="37" t="s">
        <v>646</v>
      </c>
      <c r="E100" s="37" t="s">
        <v>647</v>
      </c>
      <c r="F100" s="37" t="s">
        <v>648</v>
      </c>
      <c r="G100" s="39" t="s">
        <v>52</v>
      </c>
      <c r="H100" s="39" t="s">
        <v>24</v>
      </c>
      <c r="I100" s="37" t="s">
        <v>52</v>
      </c>
      <c r="J100" s="39" t="s">
        <v>144</v>
      </c>
      <c r="K100" s="39" t="s">
        <v>24</v>
      </c>
      <c r="L100" s="39" t="s">
        <v>24</v>
      </c>
      <c r="M100" s="39" t="s">
        <v>24</v>
      </c>
      <c r="N100" s="39" t="s">
        <v>24</v>
      </c>
      <c r="O100" s="39" t="s">
        <v>16</v>
      </c>
      <c r="P100" s="39" t="s">
        <v>16</v>
      </c>
      <c r="Q100" s="39" t="s">
        <v>16</v>
      </c>
      <c r="R100" s="39" t="s">
        <v>145</v>
      </c>
    </row>
    <row r="101" customFormat="false" ht="23.85" hidden="false" customHeight="false" outlineLevel="0" collapsed="false">
      <c r="A101" s="37" t="s">
        <v>649</v>
      </c>
      <c r="B101" s="37" t="s">
        <v>626</v>
      </c>
      <c r="C101" s="38" t="s">
        <v>650</v>
      </c>
      <c r="D101" s="37" t="s">
        <v>651</v>
      </c>
      <c r="E101" s="37" t="s">
        <v>652</v>
      </c>
      <c r="F101" s="37" t="s">
        <v>52</v>
      </c>
      <c r="G101" s="39" t="s">
        <v>134</v>
      </c>
      <c r="H101" s="39" t="s">
        <v>52</v>
      </c>
      <c r="I101" s="37" t="s">
        <v>52</v>
      </c>
      <c r="J101" s="39" t="s">
        <v>136</v>
      </c>
      <c r="K101" s="39" t="s">
        <v>16</v>
      </c>
      <c r="L101" s="39" t="s">
        <v>16</v>
      </c>
      <c r="M101" s="39" t="s">
        <v>16</v>
      </c>
      <c r="N101" s="39" t="s">
        <v>16</v>
      </c>
      <c r="O101" s="39" t="s">
        <v>16</v>
      </c>
      <c r="P101" s="39" t="s">
        <v>16</v>
      </c>
      <c r="Q101" s="39" t="s">
        <v>16</v>
      </c>
      <c r="R101" s="39" t="s">
        <v>137</v>
      </c>
    </row>
    <row r="102" customFormat="false" ht="23.85" hidden="false" customHeight="false" outlineLevel="0" collapsed="false">
      <c r="A102" s="37" t="s">
        <v>653</v>
      </c>
      <c r="B102" s="37" t="s">
        <v>654</v>
      </c>
      <c r="C102" s="38" t="s">
        <v>655</v>
      </c>
      <c r="D102" s="37" t="s">
        <v>656</v>
      </c>
      <c r="E102" s="37" t="s">
        <v>657</v>
      </c>
      <c r="F102" s="37" t="s">
        <v>52</v>
      </c>
      <c r="G102" s="39" t="s">
        <v>134</v>
      </c>
      <c r="H102" s="39" t="s">
        <v>52</v>
      </c>
      <c r="I102" s="37" t="s">
        <v>52</v>
      </c>
      <c r="J102" s="39" t="s">
        <v>136</v>
      </c>
      <c r="K102" s="39" t="s">
        <v>16</v>
      </c>
      <c r="L102" s="39" t="s">
        <v>16</v>
      </c>
      <c r="M102" s="39" t="s">
        <v>16</v>
      </c>
      <c r="N102" s="39" t="s">
        <v>16</v>
      </c>
      <c r="O102" s="39" t="s">
        <v>16</v>
      </c>
      <c r="P102" s="39" t="s">
        <v>24</v>
      </c>
      <c r="Q102" s="39" t="s">
        <v>24</v>
      </c>
      <c r="R102" s="39" t="s">
        <v>145</v>
      </c>
    </row>
    <row r="103" customFormat="false" ht="35.05" hidden="false" customHeight="false" outlineLevel="0" collapsed="false">
      <c r="A103" s="37" t="s">
        <v>658</v>
      </c>
      <c r="B103" s="37" t="s">
        <v>654</v>
      </c>
      <c r="C103" s="38" t="s">
        <v>659</v>
      </c>
      <c r="D103" s="37" t="s">
        <v>660</v>
      </c>
      <c r="E103" s="37" t="s">
        <v>661</v>
      </c>
      <c r="F103" s="37" t="s">
        <v>662</v>
      </c>
      <c r="G103" s="39" t="s">
        <v>134</v>
      </c>
      <c r="H103" s="39" t="s">
        <v>16</v>
      </c>
      <c r="I103" s="37" t="s">
        <v>52</v>
      </c>
      <c r="J103" s="39" t="s">
        <v>136</v>
      </c>
      <c r="K103" s="39" t="s">
        <v>24</v>
      </c>
      <c r="L103" s="39" t="s">
        <v>24</v>
      </c>
      <c r="M103" s="39" t="s">
        <v>24</v>
      </c>
      <c r="N103" s="39" t="s">
        <v>24</v>
      </c>
      <c r="O103" s="39" t="s">
        <v>16</v>
      </c>
      <c r="P103" s="39" t="s">
        <v>16</v>
      </c>
      <c r="Q103" s="39" t="s">
        <v>16</v>
      </c>
      <c r="R103" s="39" t="s">
        <v>137</v>
      </c>
    </row>
    <row r="104" customFormat="false" ht="15" hidden="false" customHeight="false" outlineLevel="0" collapsed="false">
      <c r="A104" s="37" t="s">
        <v>663</v>
      </c>
      <c r="B104" s="37" t="s">
        <v>654</v>
      </c>
      <c r="C104" s="38" t="s">
        <v>664</v>
      </c>
      <c r="D104" s="37" t="s">
        <v>665</v>
      </c>
      <c r="E104" s="37" t="s">
        <v>52</v>
      </c>
      <c r="F104" s="37" t="s">
        <v>666</v>
      </c>
      <c r="G104" s="39" t="s">
        <v>134</v>
      </c>
      <c r="H104" s="39" t="s">
        <v>24</v>
      </c>
      <c r="I104" s="37" t="s">
        <v>52</v>
      </c>
      <c r="J104" s="39" t="s">
        <v>136</v>
      </c>
      <c r="K104" s="39" t="s">
        <v>16</v>
      </c>
      <c r="L104" s="39" t="s">
        <v>16</v>
      </c>
      <c r="M104" s="39" t="s">
        <v>16</v>
      </c>
      <c r="N104" s="39" t="s">
        <v>16</v>
      </c>
      <c r="O104" s="39" t="s">
        <v>16</v>
      </c>
      <c r="P104" s="39" t="s">
        <v>16</v>
      </c>
      <c r="Q104" s="39" t="s">
        <v>16</v>
      </c>
      <c r="R104" s="39" t="s">
        <v>145</v>
      </c>
    </row>
    <row r="105" customFormat="false" ht="15" hidden="false" customHeight="false" outlineLevel="0" collapsed="false">
      <c r="A105" s="37" t="s">
        <v>667</v>
      </c>
      <c r="B105" s="37" t="s">
        <v>654</v>
      </c>
      <c r="C105" s="38" t="s">
        <v>668</v>
      </c>
      <c r="D105" s="37" t="s">
        <v>669</v>
      </c>
      <c r="E105" s="37" t="s">
        <v>670</v>
      </c>
      <c r="F105" s="37" t="s">
        <v>52</v>
      </c>
      <c r="G105" s="39" t="s">
        <v>143</v>
      </c>
      <c r="H105" s="39" t="s">
        <v>52</v>
      </c>
      <c r="I105" s="37" t="s">
        <v>671</v>
      </c>
      <c r="J105" s="39" t="s">
        <v>144</v>
      </c>
      <c r="K105" s="39" t="s">
        <v>24</v>
      </c>
      <c r="L105" s="39" t="s">
        <v>24</v>
      </c>
      <c r="M105" s="39" t="s">
        <v>24</v>
      </c>
      <c r="N105" s="39" t="s">
        <v>24</v>
      </c>
      <c r="O105" s="39" t="s">
        <v>24</v>
      </c>
      <c r="P105" s="39" t="s">
        <v>18</v>
      </c>
      <c r="Q105" s="39" t="s">
        <v>18</v>
      </c>
      <c r="R105" s="39" t="s">
        <v>145</v>
      </c>
    </row>
    <row r="106" customFormat="false" ht="15" hidden="false" customHeight="false" outlineLevel="0" collapsed="false">
      <c r="A106" s="37" t="s">
        <v>672</v>
      </c>
      <c r="B106" s="37" t="s">
        <v>654</v>
      </c>
      <c r="C106" s="38" t="s">
        <v>673</v>
      </c>
      <c r="D106" s="37" t="s">
        <v>674</v>
      </c>
      <c r="E106" s="37" t="s">
        <v>675</v>
      </c>
      <c r="F106" s="37" t="s">
        <v>52</v>
      </c>
      <c r="G106" s="39" t="s">
        <v>52</v>
      </c>
      <c r="H106" s="39" t="s">
        <v>52</v>
      </c>
      <c r="I106" s="37" t="s">
        <v>52</v>
      </c>
      <c r="J106" s="39" t="s">
        <v>144</v>
      </c>
      <c r="K106" s="39" t="s">
        <v>16</v>
      </c>
      <c r="L106" s="39" t="s">
        <v>16</v>
      </c>
      <c r="M106" s="39" t="s">
        <v>16</v>
      </c>
      <c r="N106" s="39" t="s">
        <v>16</v>
      </c>
      <c r="O106" s="39" t="s">
        <v>16</v>
      </c>
      <c r="P106" s="39" t="s">
        <v>16</v>
      </c>
      <c r="Q106" s="39" t="s">
        <v>16</v>
      </c>
      <c r="R106" s="39" t="s">
        <v>145</v>
      </c>
    </row>
    <row r="107" customFormat="false" ht="23.85" hidden="false" customHeight="false" outlineLevel="0" collapsed="false">
      <c r="A107" s="37" t="s">
        <v>676</v>
      </c>
      <c r="B107" s="37" t="s">
        <v>677</v>
      </c>
      <c r="C107" s="38" t="s">
        <v>678</v>
      </c>
      <c r="D107" s="37" t="s">
        <v>679</v>
      </c>
      <c r="E107" s="37" t="s">
        <v>680</v>
      </c>
      <c r="F107" s="37" t="s">
        <v>681</v>
      </c>
      <c r="G107" s="39" t="s">
        <v>134</v>
      </c>
      <c r="H107" s="39" t="s">
        <v>52</v>
      </c>
      <c r="I107" s="37" t="s">
        <v>52</v>
      </c>
      <c r="J107" s="39" t="s">
        <v>144</v>
      </c>
      <c r="K107" s="39" t="s">
        <v>24</v>
      </c>
      <c r="L107" s="39" t="s">
        <v>24</v>
      </c>
      <c r="M107" s="39" t="s">
        <v>24</v>
      </c>
      <c r="N107" s="39" t="s">
        <v>24</v>
      </c>
      <c r="O107" s="39" t="s">
        <v>24</v>
      </c>
      <c r="P107" s="39" t="s">
        <v>24</v>
      </c>
      <c r="Q107" s="39" t="s">
        <v>16</v>
      </c>
      <c r="R107" s="39" t="s">
        <v>145</v>
      </c>
    </row>
    <row r="108" customFormat="false" ht="23.85" hidden="false" customHeight="false" outlineLevel="0" collapsed="false">
      <c r="A108" s="37" t="s">
        <v>682</v>
      </c>
      <c r="B108" s="37" t="s">
        <v>677</v>
      </c>
      <c r="C108" s="38" t="s">
        <v>683</v>
      </c>
      <c r="D108" s="37" t="s">
        <v>684</v>
      </c>
      <c r="E108" s="37" t="s">
        <v>685</v>
      </c>
      <c r="F108" s="37" t="s">
        <v>686</v>
      </c>
      <c r="G108" s="39" t="s">
        <v>143</v>
      </c>
      <c r="H108" s="39" t="s">
        <v>687</v>
      </c>
      <c r="I108" s="37" t="s">
        <v>52</v>
      </c>
      <c r="J108" s="39" t="s">
        <v>144</v>
      </c>
      <c r="K108" s="39" t="s">
        <v>24</v>
      </c>
      <c r="L108" s="39" t="s">
        <v>24</v>
      </c>
      <c r="M108" s="39" t="s">
        <v>24</v>
      </c>
      <c r="N108" s="39" t="s">
        <v>24</v>
      </c>
      <c r="O108" s="39" t="s">
        <v>24</v>
      </c>
      <c r="P108" s="39" t="s">
        <v>24</v>
      </c>
      <c r="Q108" s="39" t="s">
        <v>16</v>
      </c>
      <c r="R108" s="39" t="s">
        <v>145</v>
      </c>
    </row>
    <row r="109" customFormat="false" ht="23.85" hidden="false" customHeight="false" outlineLevel="0" collapsed="false">
      <c r="A109" s="37" t="s">
        <v>688</v>
      </c>
      <c r="B109" s="37" t="s">
        <v>677</v>
      </c>
      <c r="C109" s="38" t="s">
        <v>689</v>
      </c>
      <c r="D109" s="37" t="s">
        <v>690</v>
      </c>
      <c r="E109" s="37" t="s">
        <v>691</v>
      </c>
      <c r="F109" s="37" t="s">
        <v>692</v>
      </c>
      <c r="G109" s="39" t="s">
        <v>693</v>
      </c>
      <c r="H109" s="39" t="s">
        <v>16</v>
      </c>
      <c r="I109" s="37" t="s">
        <v>694</v>
      </c>
      <c r="J109" s="39" t="s">
        <v>144</v>
      </c>
      <c r="K109" s="39" t="s">
        <v>24</v>
      </c>
      <c r="L109" s="39" t="s">
        <v>24</v>
      </c>
      <c r="M109" s="39" t="s">
        <v>24</v>
      </c>
      <c r="N109" s="39" t="s">
        <v>24</v>
      </c>
      <c r="O109" s="39" t="s">
        <v>24</v>
      </c>
      <c r="P109" s="39" t="s">
        <v>24</v>
      </c>
      <c r="Q109" s="39" t="s">
        <v>16</v>
      </c>
      <c r="R109" s="39" t="s">
        <v>145</v>
      </c>
    </row>
    <row r="110" customFormat="false" ht="23.85" hidden="false" customHeight="false" outlineLevel="0" collapsed="false">
      <c r="A110" s="37" t="s">
        <v>695</v>
      </c>
      <c r="B110" s="37" t="s">
        <v>677</v>
      </c>
      <c r="C110" s="38" t="s">
        <v>696</v>
      </c>
      <c r="D110" s="37" t="s">
        <v>697</v>
      </c>
      <c r="E110" s="37" t="s">
        <v>698</v>
      </c>
      <c r="F110" s="37" t="s">
        <v>692</v>
      </c>
      <c r="G110" s="39" t="s">
        <v>134</v>
      </c>
      <c r="H110" s="39" t="s">
        <v>699</v>
      </c>
      <c r="I110" s="37" t="s">
        <v>694</v>
      </c>
      <c r="J110" s="39" t="s">
        <v>144</v>
      </c>
      <c r="K110" s="39" t="s">
        <v>24</v>
      </c>
      <c r="L110" s="39" t="s">
        <v>24</v>
      </c>
      <c r="M110" s="39" t="s">
        <v>24</v>
      </c>
      <c r="N110" s="39" t="s">
        <v>24</v>
      </c>
      <c r="O110" s="39" t="s">
        <v>24</v>
      </c>
      <c r="P110" s="39" t="s">
        <v>24</v>
      </c>
      <c r="Q110" s="39" t="s">
        <v>16</v>
      </c>
      <c r="R110" s="39" t="s">
        <v>145</v>
      </c>
    </row>
    <row r="111" customFormat="false" ht="23.85" hidden="false" customHeight="false" outlineLevel="0" collapsed="false">
      <c r="A111" s="37" t="s">
        <v>700</v>
      </c>
      <c r="B111" s="37" t="s">
        <v>677</v>
      </c>
      <c r="C111" s="38" t="s">
        <v>701</v>
      </c>
      <c r="D111" s="37" t="s">
        <v>702</v>
      </c>
      <c r="E111" s="37" t="s">
        <v>703</v>
      </c>
      <c r="F111" s="37" t="s">
        <v>704</v>
      </c>
      <c r="G111" s="39" t="s">
        <v>143</v>
      </c>
      <c r="H111" s="39" t="s">
        <v>16</v>
      </c>
      <c r="I111" s="37" t="s">
        <v>52</v>
      </c>
      <c r="J111" s="39" t="s">
        <v>144</v>
      </c>
      <c r="K111" s="39" t="s">
        <v>24</v>
      </c>
      <c r="L111" s="39" t="s">
        <v>24</v>
      </c>
      <c r="M111" s="39" t="s">
        <v>24</v>
      </c>
      <c r="N111" s="39" t="s">
        <v>24</v>
      </c>
      <c r="O111" s="39" t="s">
        <v>24</v>
      </c>
      <c r="P111" s="39" t="s">
        <v>24</v>
      </c>
      <c r="Q111" s="39" t="s">
        <v>16</v>
      </c>
      <c r="R111" s="39" t="s">
        <v>145</v>
      </c>
    </row>
    <row r="112" customFormat="false" ht="23.85" hidden="false" customHeight="false" outlineLevel="0" collapsed="false">
      <c r="A112" s="37" t="s">
        <v>705</v>
      </c>
      <c r="B112" s="37" t="s">
        <v>677</v>
      </c>
      <c r="C112" s="38" t="s">
        <v>706</v>
      </c>
      <c r="D112" s="37" t="s">
        <v>707</v>
      </c>
      <c r="E112" s="37" t="s">
        <v>708</v>
      </c>
      <c r="F112" s="37" t="s">
        <v>52</v>
      </c>
      <c r="G112" s="39" t="s">
        <v>134</v>
      </c>
      <c r="H112" s="39" t="s">
        <v>16</v>
      </c>
      <c r="I112" s="37" t="s">
        <v>694</v>
      </c>
      <c r="J112" s="39" t="s">
        <v>144</v>
      </c>
      <c r="K112" s="39" t="s">
        <v>24</v>
      </c>
      <c r="L112" s="39" t="s">
        <v>24</v>
      </c>
      <c r="M112" s="39" t="s">
        <v>24</v>
      </c>
      <c r="N112" s="39" t="s">
        <v>24</v>
      </c>
      <c r="O112" s="39" t="s">
        <v>24</v>
      </c>
      <c r="P112" s="39" t="s">
        <v>24</v>
      </c>
      <c r="Q112" s="39" t="s">
        <v>16</v>
      </c>
      <c r="R112" s="39" t="s">
        <v>145</v>
      </c>
    </row>
    <row r="113" customFormat="false" ht="23.85" hidden="false" customHeight="false" outlineLevel="0" collapsed="false">
      <c r="A113" s="37" t="s">
        <v>709</v>
      </c>
      <c r="B113" s="37" t="s">
        <v>677</v>
      </c>
      <c r="C113" s="38" t="s">
        <v>710</v>
      </c>
      <c r="D113" s="37" t="s">
        <v>711</v>
      </c>
      <c r="E113" s="37" t="s">
        <v>712</v>
      </c>
      <c r="F113" s="37" t="s">
        <v>713</v>
      </c>
      <c r="G113" s="39" t="s">
        <v>134</v>
      </c>
      <c r="H113" s="39" t="s">
        <v>52</v>
      </c>
      <c r="I113" s="37" t="s">
        <v>52</v>
      </c>
      <c r="J113" s="39" t="s">
        <v>144</v>
      </c>
      <c r="K113" s="39" t="s">
        <v>24</v>
      </c>
      <c r="L113" s="39" t="s">
        <v>24</v>
      </c>
      <c r="M113" s="39" t="s">
        <v>24</v>
      </c>
      <c r="N113" s="39" t="s">
        <v>24</v>
      </c>
      <c r="O113" s="39" t="s">
        <v>24</v>
      </c>
      <c r="P113" s="39" t="s">
        <v>24</v>
      </c>
      <c r="Q113" s="39" t="s">
        <v>16</v>
      </c>
      <c r="R113" s="39" t="s">
        <v>145</v>
      </c>
    </row>
    <row r="114" customFormat="false" ht="23.85" hidden="false" customHeight="false" outlineLevel="0" collapsed="false">
      <c r="A114" s="37" t="s">
        <v>714</v>
      </c>
      <c r="B114" s="37" t="s">
        <v>677</v>
      </c>
      <c r="C114" s="38" t="s">
        <v>715</v>
      </c>
      <c r="D114" s="37" t="s">
        <v>716</v>
      </c>
      <c r="E114" s="37" t="s">
        <v>717</v>
      </c>
      <c r="F114" s="37" t="s">
        <v>718</v>
      </c>
      <c r="G114" s="39" t="s">
        <v>134</v>
      </c>
      <c r="H114" s="39" t="s">
        <v>16</v>
      </c>
      <c r="I114" s="37" t="s">
        <v>52</v>
      </c>
      <c r="J114" s="39" t="s">
        <v>144</v>
      </c>
      <c r="K114" s="39" t="s">
        <v>24</v>
      </c>
      <c r="L114" s="39" t="s">
        <v>24</v>
      </c>
      <c r="M114" s="39" t="s">
        <v>24</v>
      </c>
      <c r="N114" s="39" t="s">
        <v>24</v>
      </c>
      <c r="O114" s="39" t="s">
        <v>24</v>
      </c>
      <c r="P114" s="39" t="s">
        <v>24</v>
      </c>
      <c r="Q114" s="39" t="s">
        <v>16</v>
      </c>
      <c r="R114" s="39" t="s">
        <v>145</v>
      </c>
    </row>
    <row r="115" customFormat="false" ht="23.85" hidden="false" customHeight="false" outlineLevel="0" collapsed="false">
      <c r="A115" s="37" t="s">
        <v>719</v>
      </c>
      <c r="B115" s="37" t="s">
        <v>677</v>
      </c>
      <c r="C115" s="38" t="s">
        <v>720</v>
      </c>
      <c r="D115" s="37" t="s">
        <v>721</v>
      </c>
      <c r="E115" s="37" t="s">
        <v>722</v>
      </c>
      <c r="F115" s="37" t="s">
        <v>723</v>
      </c>
      <c r="G115" s="39" t="s">
        <v>134</v>
      </c>
      <c r="H115" s="39" t="s">
        <v>24</v>
      </c>
      <c r="I115" s="37" t="s">
        <v>724</v>
      </c>
      <c r="J115" s="39" t="s">
        <v>144</v>
      </c>
      <c r="K115" s="39" t="s">
        <v>24</v>
      </c>
      <c r="L115" s="39" t="s">
        <v>24</v>
      </c>
      <c r="M115" s="39" t="s">
        <v>24</v>
      </c>
      <c r="N115" s="39" t="s">
        <v>24</v>
      </c>
      <c r="O115" s="39" t="s">
        <v>24</v>
      </c>
      <c r="P115" s="39" t="s">
        <v>24</v>
      </c>
      <c r="Q115" s="39" t="s">
        <v>16</v>
      </c>
      <c r="R115" s="39" t="s">
        <v>145</v>
      </c>
    </row>
    <row r="116" customFormat="false" ht="23.85" hidden="false" customHeight="false" outlineLevel="0" collapsed="false">
      <c r="A116" s="37" t="s">
        <v>725</v>
      </c>
      <c r="B116" s="37" t="s">
        <v>726</v>
      </c>
      <c r="C116" s="38" t="s">
        <v>727</v>
      </c>
      <c r="D116" s="37" t="s">
        <v>728</v>
      </c>
      <c r="E116" s="37" t="s">
        <v>729</v>
      </c>
      <c r="F116" s="37" t="s">
        <v>52</v>
      </c>
      <c r="G116" s="39" t="s">
        <v>134</v>
      </c>
      <c r="H116" s="39" t="s">
        <v>52</v>
      </c>
      <c r="I116" s="37" t="s">
        <v>724</v>
      </c>
      <c r="J116" s="39" t="s">
        <v>136</v>
      </c>
      <c r="K116" s="39" t="s">
        <v>16</v>
      </c>
      <c r="L116" s="39" t="s">
        <v>16</v>
      </c>
      <c r="M116" s="39" t="s">
        <v>16</v>
      </c>
      <c r="N116" s="39" t="s">
        <v>16</v>
      </c>
      <c r="O116" s="39" t="s">
        <v>16</v>
      </c>
      <c r="P116" s="39" t="s">
        <v>16</v>
      </c>
      <c r="Q116" s="39" t="s">
        <v>16</v>
      </c>
      <c r="R116" s="39" t="s">
        <v>145</v>
      </c>
    </row>
    <row r="117" customFormat="false" ht="23.85" hidden="false" customHeight="false" outlineLevel="0" collapsed="false">
      <c r="A117" s="37" t="s">
        <v>730</v>
      </c>
      <c r="B117" s="37" t="s">
        <v>726</v>
      </c>
      <c r="C117" s="38" t="s">
        <v>731</v>
      </c>
      <c r="D117" s="37" t="s">
        <v>732</v>
      </c>
      <c r="E117" s="37" t="s">
        <v>733</v>
      </c>
      <c r="F117" s="37" t="s">
        <v>734</v>
      </c>
      <c r="G117" s="39" t="s">
        <v>134</v>
      </c>
      <c r="H117" s="39" t="s">
        <v>52</v>
      </c>
      <c r="I117" s="37" t="s">
        <v>724</v>
      </c>
      <c r="J117" s="39" t="s">
        <v>136</v>
      </c>
      <c r="K117" s="39" t="s">
        <v>24</v>
      </c>
      <c r="L117" s="39" t="s">
        <v>24</v>
      </c>
      <c r="M117" s="39" t="s">
        <v>24</v>
      </c>
      <c r="N117" s="39" t="s">
        <v>24</v>
      </c>
      <c r="O117" s="39" t="s">
        <v>24</v>
      </c>
      <c r="P117" s="39" t="s">
        <v>16</v>
      </c>
      <c r="Q117" s="39" t="s">
        <v>16</v>
      </c>
      <c r="R117" s="39" t="s">
        <v>145</v>
      </c>
    </row>
    <row r="118" customFormat="false" ht="23.85" hidden="false" customHeight="false" outlineLevel="0" collapsed="false">
      <c r="A118" s="37" t="s">
        <v>735</v>
      </c>
      <c r="B118" s="37" t="s">
        <v>726</v>
      </c>
      <c r="C118" s="38" t="s">
        <v>736</v>
      </c>
      <c r="D118" s="37" t="s">
        <v>737</v>
      </c>
      <c r="E118" s="37" t="s">
        <v>738</v>
      </c>
      <c r="F118" s="37" t="s">
        <v>52</v>
      </c>
      <c r="G118" s="39" t="s">
        <v>134</v>
      </c>
      <c r="H118" s="39" t="s">
        <v>52</v>
      </c>
      <c r="I118" s="37" t="s">
        <v>739</v>
      </c>
      <c r="J118" s="39" t="s">
        <v>136</v>
      </c>
      <c r="K118" s="39" t="s">
        <v>16</v>
      </c>
      <c r="L118" s="39" t="s">
        <v>16</v>
      </c>
      <c r="M118" s="39" t="s">
        <v>16</v>
      </c>
      <c r="N118" s="39" t="s">
        <v>24</v>
      </c>
      <c r="O118" s="39" t="s">
        <v>24</v>
      </c>
      <c r="P118" s="39" t="s">
        <v>24</v>
      </c>
      <c r="Q118" s="39" t="s">
        <v>24</v>
      </c>
      <c r="R118" s="39" t="s">
        <v>145</v>
      </c>
    </row>
    <row r="119" customFormat="false" ht="23.85" hidden="false" customHeight="false" outlineLevel="0" collapsed="false">
      <c r="A119" s="37" t="s">
        <v>740</v>
      </c>
      <c r="B119" s="37" t="s">
        <v>726</v>
      </c>
      <c r="C119" s="38" t="s">
        <v>741</v>
      </c>
      <c r="D119" s="37" t="s">
        <v>742</v>
      </c>
      <c r="E119" s="37" t="s">
        <v>743</v>
      </c>
      <c r="F119" s="37" t="s">
        <v>52</v>
      </c>
      <c r="G119" s="39" t="s">
        <v>134</v>
      </c>
      <c r="H119" s="39" t="s">
        <v>52</v>
      </c>
      <c r="I119" s="37" t="s">
        <v>744</v>
      </c>
      <c r="J119" s="39" t="s">
        <v>136</v>
      </c>
      <c r="K119" s="39" t="s">
        <v>16</v>
      </c>
      <c r="L119" s="39" t="s">
        <v>16</v>
      </c>
      <c r="M119" s="39" t="s">
        <v>16</v>
      </c>
      <c r="N119" s="39" t="s">
        <v>16</v>
      </c>
      <c r="O119" s="39" t="s">
        <v>16</v>
      </c>
      <c r="P119" s="39" t="s">
        <v>16</v>
      </c>
      <c r="Q119" s="39" t="s">
        <v>16</v>
      </c>
      <c r="R119" s="39" t="s">
        <v>137</v>
      </c>
    </row>
  </sheetData>
  <autoFilter ref="A1:R119"/>
  <conditionalFormatting sqref="K2:Q119">
    <cfRule type="cellIs" priority="2" operator="equal" aboveAverage="0" equalAverage="0" bottom="0" percent="0" rank="0" text="" dxfId="14">
      <formula>"Oui"</formula>
    </cfRule>
    <cfRule type="cellIs" priority="3" operator="equal" aboveAverage="0" equalAverage="0" bottom="0" percent="0" rank="0" text="" dxfId="15">
      <formula>"Option"</formula>
    </cfRule>
    <cfRule type="cellIs" priority="4" operator="equal" aboveAverage="0" equalAverage="0" bottom="0" percent="0" rank="0" text="" dxfId="16">
      <formula>"Sur demande"</formula>
    </cfRule>
    <cfRule type="cellIs" priority="5" operator="equal" aboveAverage="0" equalAverage="0" bottom="0" percent="0" rank="0" text="" dxfId="17">
      <formula>"Temporaire"</formula>
    </cfRule>
    <cfRule type="cellIs" priority="6" operator="equal" aboveAverage="0" equalAverage="0" bottom="0" percent="0" rank="0" text="" dxfId="18">
      <formula>"Non"</formula>
    </cfRule>
  </conditionalFormatting>
  <dataValidations count="2">
    <dataValidation allowBlank="true" errorStyle="stop" operator="between" showDropDown="false" showErrorMessage="false" showInputMessage="false" sqref="K2:Q119" type="list">
      <formula1>"Oui,Option,Sur demande,Temporaire,Non"</formula1>
      <formula2>0</formula2>
    </dataValidation>
    <dataValidation allowBlank="true" errorStyle="stop" operator="between" showDropDown="false" showErrorMessage="false" showInputMessage="false" sqref="J2:J119" type="list">
      <formula1>"MVP,V2,V3"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45"/>
  </cols>
  <sheetData>
    <row r="1" customFormat="false" ht="31.5" hidden="false" customHeight="true" outlineLevel="0" collapsed="false">
      <c r="A1" s="8" t="s">
        <v>113</v>
      </c>
      <c r="B1" s="8" t="s">
        <v>745</v>
      </c>
      <c r="C1" s="8" t="s">
        <v>746</v>
      </c>
      <c r="D1" s="8" t="s">
        <v>747</v>
      </c>
    </row>
    <row r="2" customFormat="false" ht="23.85" hidden="false" customHeight="false" outlineLevel="0" collapsed="false">
      <c r="A2" s="37" t="s">
        <v>748</v>
      </c>
      <c r="B2" s="37" t="s">
        <v>168</v>
      </c>
      <c r="C2" s="37" t="s">
        <v>749</v>
      </c>
      <c r="D2" s="37" t="s">
        <v>750</v>
      </c>
    </row>
    <row r="3" customFormat="false" ht="35.05" hidden="false" customHeight="false" outlineLevel="0" collapsed="false">
      <c r="A3" s="37" t="s">
        <v>751</v>
      </c>
      <c r="B3" s="37" t="s">
        <v>168</v>
      </c>
      <c r="C3" s="37" t="s">
        <v>752</v>
      </c>
      <c r="D3" s="37" t="s">
        <v>753</v>
      </c>
    </row>
    <row r="4" customFormat="false" ht="35.05" hidden="false" customHeight="false" outlineLevel="0" collapsed="false">
      <c r="A4" s="37" t="s">
        <v>754</v>
      </c>
      <c r="B4" s="37" t="s">
        <v>168</v>
      </c>
      <c r="C4" s="37" t="s">
        <v>755</v>
      </c>
      <c r="D4" s="37" t="s">
        <v>756</v>
      </c>
    </row>
    <row r="5" customFormat="false" ht="35.05" hidden="false" customHeight="false" outlineLevel="0" collapsed="false">
      <c r="A5" s="37" t="s">
        <v>757</v>
      </c>
      <c r="B5" s="37" t="s">
        <v>168</v>
      </c>
      <c r="C5" s="37" t="s">
        <v>758</v>
      </c>
      <c r="D5" s="37" t="s">
        <v>759</v>
      </c>
    </row>
    <row r="6" customFormat="false" ht="23.85" hidden="false" customHeight="false" outlineLevel="0" collapsed="false">
      <c r="A6" s="37" t="s">
        <v>760</v>
      </c>
      <c r="B6" s="37" t="s">
        <v>168</v>
      </c>
      <c r="C6" s="37" t="s">
        <v>761</v>
      </c>
      <c r="D6" s="37" t="s">
        <v>762</v>
      </c>
    </row>
    <row r="7" customFormat="false" ht="23.85" hidden="false" customHeight="false" outlineLevel="0" collapsed="false">
      <c r="A7" s="37" t="s">
        <v>763</v>
      </c>
      <c r="B7" s="37" t="s">
        <v>168</v>
      </c>
      <c r="C7" s="37" t="s">
        <v>764</v>
      </c>
      <c r="D7" s="37" t="s">
        <v>765</v>
      </c>
    </row>
    <row r="8" customFormat="false" ht="15" hidden="false" customHeight="false" outlineLevel="0" collapsed="false">
      <c r="A8" s="37" t="s">
        <v>766</v>
      </c>
      <c r="B8" s="37" t="s">
        <v>168</v>
      </c>
      <c r="C8" s="37" t="s">
        <v>767</v>
      </c>
      <c r="D8" s="37" t="s">
        <v>768</v>
      </c>
    </row>
    <row r="9" customFormat="false" ht="15" hidden="false" customHeight="false" outlineLevel="0" collapsed="false">
      <c r="A9" s="37" t="s">
        <v>769</v>
      </c>
      <c r="B9" s="37" t="s">
        <v>168</v>
      </c>
      <c r="C9" s="37" t="s">
        <v>770</v>
      </c>
      <c r="D9" s="37" t="s">
        <v>771</v>
      </c>
    </row>
    <row r="10" customFormat="false" ht="23.85" hidden="false" customHeight="false" outlineLevel="0" collapsed="false">
      <c r="A10" s="37" t="s">
        <v>772</v>
      </c>
      <c r="B10" s="37" t="s">
        <v>773</v>
      </c>
      <c r="C10" s="37" t="s">
        <v>774</v>
      </c>
      <c r="D10" s="37" t="s">
        <v>775</v>
      </c>
    </row>
    <row r="11" customFormat="false" ht="15" hidden="false" customHeight="false" outlineLevel="0" collapsed="false">
      <c r="A11" s="37" t="s">
        <v>776</v>
      </c>
      <c r="B11" s="37" t="s">
        <v>773</v>
      </c>
      <c r="C11" s="37" t="s">
        <v>777</v>
      </c>
      <c r="D11" s="37" t="s">
        <v>778</v>
      </c>
    </row>
    <row r="12" customFormat="false" ht="23.85" hidden="false" customHeight="false" outlineLevel="0" collapsed="false">
      <c r="A12" s="37" t="s">
        <v>779</v>
      </c>
      <c r="B12" s="37" t="s">
        <v>104</v>
      </c>
      <c r="C12" s="37" t="s">
        <v>780</v>
      </c>
      <c r="D12" s="37" t="s">
        <v>781</v>
      </c>
    </row>
    <row r="13" customFormat="false" ht="23.85" hidden="false" customHeight="false" outlineLevel="0" collapsed="false">
      <c r="A13" s="37" t="s">
        <v>782</v>
      </c>
      <c r="B13" s="37" t="s">
        <v>452</v>
      </c>
      <c r="C13" s="37" t="s">
        <v>783</v>
      </c>
      <c r="D13" s="37" t="s">
        <v>784</v>
      </c>
    </row>
    <row r="14" customFormat="false" ht="35.05" hidden="false" customHeight="false" outlineLevel="0" collapsed="false">
      <c r="A14" s="37" t="s">
        <v>785</v>
      </c>
      <c r="B14" s="37" t="s">
        <v>452</v>
      </c>
      <c r="C14" s="37" t="s">
        <v>786</v>
      </c>
      <c r="D14" s="37" t="s">
        <v>52</v>
      </c>
    </row>
    <row r="15" customFormat="false" ht="23.85" hidden="false" customHeight="false" outlineLevel="0" collapsed="false">
      <c r="A15" s="37" t="s">
        <v>787</v>
      </c>
      <c r="B15" s="37" t="s">
        <v>452</v>
      </c>
      <c r="C15" s="37" t="s">
        <v>788</v>
      </c>
      <c r="D15" s="37" t="s">
        <v>789</v>
      </c>
    </row>
    <row r="16" customFormat="false" ht="15" hidden="false" customHeight="false" outlineLevel="0" collapsed="false">
      <c r="A16" s="37" t="s">
        <v>790</v>
      </c>
      <c r="B16" s="37" t="s">
        <v>452</v>
      </c>
      <c r="C16" s="37" t="s">
        <v>791</v>
      </c>
      <c r="D16" s="37" t="s">
        <v>52</v>
      </c>
    </row>
    <row r="17" customFormat="false" ht="15" hidden="false" customHeight="false" outlineLevel="0" collapsed="false">
      <c r="A17" s="37" t="s">
        <v>792</v>
      </c>
      <c r="B17" s="37" t="s">
        <v>452</v>
      </c>
      <c r="C17" s="37" t="s">
        <v>793</v>
      </c>
      <c r="D17" s="37" t="s">
        <v>794</v>
      </c>
    </row>
    <row r="18" customFormat="false" ht="35.05" hidden="false" customHeight="false" outlineLevel="0" collapsed="false">
      <c r="A18" s="37" t="s">
        <v>795</v>
      </c>
      <c r="B18" s="37" t="s">
        <v>389</v>
      </c>
      <c r="C18" s="37" t="s">
        <v>796</v>
      </c>
      <c r="D18" s="37" t="s">
        <v>797</v>
      </c>
    </row>
    <row r="19" customFormat="false" ht="23.85" hidden="false" customHeight="false" outlineLevel="0" collapsed="false">
      <c r="A19" s="37" t="s">
        <v>798</v>
      </c>
      <c r="B19" s="37" t="s">
        <v>799</v>
      </c>
      <c r="C19" s="37" t="s">
        <v>800</v>
      </c>
      <c r="D19" s="37" t="s">
        <v>52</v>
      </c>
    </row>
    <row r="20" customFormat="false" ht="23.85" hidden="false" customHeight="false" outlineLevel="0" collapsed="false">
      <c r="A20" s="37" t="s">
        <v>801</v>
      </c>
      <c r="B20" s="37" t="s">
        <v>802</v>
      </c>
      <c r="C20" s="37" t="s">
        <v>803</v>
      </c>
      <c r="D20" s="37" t="s">
        <v>804</v>
      </c>
    </row>
    <row r="21" customFormat="false" ht="23.85" hidden="false" customHeight="false" outlineLevel="0" collapsed="false">
      <c r="A21" s="37" t="s">
        <v>805</v>
      </c>
      <c r="B21" s="37" t="s">
        <v>806</v>
      </c>
      <c r="C21" s="37" t="s">
        <v>807</v>
      </c>
      <c r="D21" s="37" t="s">
        <v>808</v>
      </c>
    </row>
    <row r="22" customFormat="false" ht="15" hidden="false" customHeight="false" outlineLevel="0" collapsed="false">
      <c r="A22" s="37" t="s">
        <v>809</v>
      </c>
      <c r="B22" s="37" t="s">
        <v>806</v>
      </c>
      <c r="C22" s="37" t="s">
        <v>810</v>
      </c>
      <c r="D22" s="37" t="s">
        <v>52</v>
      </c>
    </row>
    <row r="23" customFormat="false" ht="15" hidden="false" customHeight="false" outlineLevel="0" collapsed="false">
      <c r="A23" s="37" t="s">
        <v>811</v>
      </c>
      <c r="B23" s="37" t="s">
        <v>812</v>
      </c>
      <c r="C23" s="37" t="s">
        <v>813</v>
      </c>
      <c r="D23" s="37" t="s">
        <v>52</v>
      </c>
    </row>
    <row r="24" customFormat="false" ht="15" hidden="false" customHeight="false" outlineLevel="0" collapsed="false">
      <c r="A24" s="37" t="s">
        <v>814</v>
      </c>
      <c r="B24" s="37" t="s">
        <v>815</v>
      </c>
      <c r="C24" s="37" t="s">
        <v>816</v>
      </c>
      <c r="D24" s="37" t="s">
        <v>817</v>
      </c>
    </row>
    <row r="25" customFormat="false" ht="35.05" hidden="false" customHeight="false" outlineLevel="0" collapsed="false">
      <c r="A25" s="37" t="s">
        <v>818</v>
      </c>
      <c r="B25" s="37" t="s">
        <v>819</v>
      </c>
      <c r="C25" s="37" t="s">
        <v>820</v>
      </c>
      <c r="D25" s="37" t="s">
        <v>52</v>
      </c>
    </row>
    <row r="26" customFormat="false" ht="35.05" hidden="false" customHeight="false" outlineLevel="0" collapsed="false">
      <c r="A26" s="37" t="s">
        <v>821</v>
      </c>
      <c r="B26" s="37" t="s">
        <v>822</v>
      </c>
      <c r="C26" s="37" t="s">
        <v>823</v>
      </c>
      <c r="D26" s="37" t="s">
        <v>824</v>
      </c>
    </row>
    <row r="27" customFormat="false" ht="23.85" hidden="false" customHeight="false" outlineLevel="0" collapsed="false">
      <c r="A27" s="37" t="s">
        <v>825</v>
      </c>
      <c r="B27" s="37" t="s">
        <v>826</v>
      </c>
      <c r="C27" s="37" t="s">
        <v>827</v>
      </c>
      <c r="D27" s="37" t="s">
        <v>828</v>
      </c>
    </row>
    <row r="28" customFormat="false" ht="23.85" hidden="false" customHeight="false" outlineLevel="0" collapsed="false">
      <c r="A28" s="37" t="s">
        <v>829</v>
      </c>
      <c r="B28" s="37" t="s">
        <v>830</v>
      </c>
      <c r="C28" s="37" t="s">
        <v>831</v>
      </c>
      <c r="D28" s="37" t="s">
        <v>832</v>
      </c>
    </row>
    <row r="29" customFormat="false" ht="23.85" hidden="false" customHeight="false" outlineLevel="0" collapsed="false">
      <c r="A29" s="37" t="s">
        <v>833</v>
      </c>
      <c r="B29" s="37" t="s">
        <v>834</v>
      </c>
      <c r="C29" s="37" t="s">
        <v>835</v>
      </c>
      <c r="D29" s="37" t="s">
        <v>836</v>
      </c>
    </row>
    <row r="30" customFormat="false" ht="35.05" hidden="false" customHeight="false" outlineLevel="0" collapsed="false">
      <c r="A30" s="37" t="s">
        <v>837</v>
      </c>
      <c r="B30" s="37" t="s">
        <v>838</v>
      </c>
      <c r="C30" s="37" t="s">
        <v>839</v>
      </c>
      <c r="D30" s="37" t="s">
        <v>52</v>
      </c>
    </row>
    <row r="31" customFormat="false" ht="23.85" hidden="false" customHeight="false" outlineLevel="0" collapsed="false">
      <c r="A31" s="37" t="s">
        <v>840</v>
      </c>
      <c r="B31" s="37" t="s">
        <v>654</v>
      </c>
      <c r="C31" s="37" t="s">
        <v>841</v>
      </c>
      <c r="D31" s="37" t="s">
        <v>842</v>
      </c>
    </row>
    <row r="32" customFormat="false" ht="23.85" hidden="false" customHeight="false" outlineLevel="0" collapsed="false">
      <c r="A32" s="37" t="s">
        <v>843</v>
      </c>
      <c r="B32" s="37" t="s">
        <v>521</v>
      </c>
      <c r="C32" s="37" t="s">
        <v>844</v>
      </c>
      <c r="D32" s="37" t="s">
        <v>52</v>
      </c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6"/>
    <col collapsed="false" customWidth="true" hidden="false" outlineLevel="0" max="6" min="6" style="0" width="26"/>
  </cols>
  <sheetData>
    <row r="1" customFormat="false" ht="19.7" hidden="false" customHeight="false" outlineLevel="0" collapsed="false">
      <c r="A1" s="1" t="s">
        <v>845</v>
      </c>
    </row>
    <row r="3" customFormat="false" ht="15" hidden="false" customHeight="false" outlineLevel="0" collapsed="false">
      <c r="A3" s="40" t="s">
        <v>114</v>
      </c>
      <c r="B3" s="40" t="s">
        <v>846</v>
      </c>
      <c r="C3" s="40" t="s">
        <v>136</v>
      </c>
      <c r="D3" s="40" t="s">
        <v>144</v>
      </c>
      <c r="E3" s="40" t="s">
        <v>304</v>
      </c>
      <c r="F3" s="40" t="s">
        <v>145</v>
      </c>
    </row>
    <row r="4" customFormat="false" ht="15" hidden="false" customHeight="false" outlineLevel="0" collapsed="false">
      <c r="A4" s="41" t="s">
        <v>129</v>
      </c>
      <c r="B4" s="39" t="n">
        <f aca="false">COUNTIF(Features!$B$2:$B$119,A4)</f>
        <v>6</v>
      </c>
      <c r="C4" s="39" t="n">
        <f aca="false">COUNTIFS(Features!$B$2:$B$119,$A4,Features!$J$2:$J$119,"MVP")</f>
        <v>4</v>
      </c>
      <c r="D4" s="39" t="n">
        <f aca="false">COUNTIFS(Features!$B$2:$B$119,$A4,Features!$J$2:$J$119,"V2")</f>
        <v>2</v>
      </c>
      <c r="E4" s="39" t="n">
        <f aca="false">COUNTIFS(Features!$B$2:$B$119,$A4,Features!$J$2:$J$119,"V3")</f>
        <v>0</v>
      </c>
      <c r="F4" s="39" t="n">
        <f aca="false">COUNTIFS(Features!$B$2:$B$119,$A4,Features!$R$2:$R$119,"Nouveau")</f>
        <v>5</v>
      </c>
    </row>
    <row r="5" customFormat="false" ht="15" hidden="false" customHeight="false" outlineLevel="0" collapsed="false">
      <c r="A5" s="41" t="s">
        <v>168</v>
      </c>
      <c r="B5" s="39" t="n">
        <f aca="false">COUNTIF(Features!$B$2:$B$119,A5)</f>
        <v>15</v>
      </c>
      <c r="C5" s="39" t="n">
        <f aca="false">COUNTIFS(Features!$B$2:$B$119,$A5,Features!$J$2:$J$119,"MVP")</f>
        <v>10</v>
      </c>
      <c r="D5" s="39" t="n">
        <f aca="false">COUNTIFS(Features!$B$2:$B$119,$A5,Features!$J$2:$J$119,"V2")</f>
        <v>5</v>
      </c>
      <c r="E5" s="39" t="n">
        <f aca="false">COUNTIFS(Features!$B$2:$B$119,$A5,Features!$J$2:$J$119,"V3")</f>
        <v>0</v>
      </c>
      <c r="F5" s="39" t="n">
        <f aca="false">COUNTIFS(Features!$B$2:$B$119,$A5,Features!$R$2:$R$119,"Nouveau")</f>
        <v>13</v>
      </c>
    </row>
    <row r="6" customFormat="false" ht="15" hidden="false" customHeight="false" outlineLevel="0" collapsed="false">
      <c r="A6" s="41" t="s">
        <v>253</v>
      </c>
      <c r="B6" s="39" t="n">
        <f aca="false">COUNTIF(Features!$B$2:$B$119,A6)</f>
        <v>12</v>
      </c>
      <c r="C6" s="39" t="n">
        <f aca="false">COUNTIFS(Features!$B$2:$B$119,$A6,Features!$J$2:$J$119,"MVP")</f>
        <v>7</v>
      </c>
      <c r="D6" s="39" t="n">
        <f aca="false">COUNTIFS(Features!$B$2:$B$119,$A6,Features!$J$2:$J$119,"V2")</f>
        <v>4</v>
      </c>
      <c r="E6" s="39" t="n">
        <f aca="false">COUNTIFS(Features!$B$2:$B$119,$A6,Features!$J$2:$J$119,"V3")</f>
        <v>1</v>
      </c>
      <c r="F6" s="39" t="n">
        <f aca="false">COUNTIFS(Features!$B$2:$B$119,$A6,Features!$R$2:$R$119,"Nouveau")</f>
        <v>6</v>
      </c>
    </row>
    <row r="7" customFormat="false" ht="15" hidden="false" customHeight="false" outlineLevel="0" collapsed="false">
      <c r="A7" s="41" t="s">
        <v>312</v>
      </c>
      <c r="B7" s="39" t="n">
        <f aca="false">COUNTIF(Features!$B$2:$B$119,A7)</f>
        <v>3</v>
      </c>
      <c r="C7" s="39" t="n">
        <f aca="false">COUNTIFS(Features!$B$2:$B$119,$A7,Features!$J$2:$J$119,"MVP")</f>
        <v>2</v>
      </c>
      <c r="D7" s="39" t="n">
        <f aca="false">COUNTIFS(Features!$B$2:$B$119,$A7,Features!$J$2:$J$119,"V2")</f>
        <v>1</v>
      </c>
      <c r="E7" s="39" t="n">
        <f aca="false">COUNTIFS(Features!$B$2:$B$119,$A7,Features!$J$2:$J$119,"V3")</f>
        <v>0</v>
      </c>
      <c r="F7" s="39" t="n">
        <f aca="false">COUNTIFS(Features!$B$2:$B$119,$A7,Features!$R$2:$R$119,"Nouveau")</f>
        <v>2</v>
      </c>
    </row>
    <row r="8" customFormat="false" ht="15" hidden="false" customHeight="false" outlineLevel="0" collapsed="false">
      <c r="A8" s="41" t="s">
        <v>326</v>
      </c>
      <c r="B8" s="39" t="n">
        <f aca="false">COUNTIF(Features!$B$2:$B$119,A8)</f>
        <v>4</v>
      </c>
      <c r="C8" s="39" t="n">
        <f aca="false">COUNTIFS(Features!$B$2:$B$119,$A8,Features!$J$2:$J$119,"MVP")</f>
        <v>4</v>
      </c>
      <c r="D8" s="39" t="n">
        <f aca="false">COUNTIFS(Features!$B$2:$B$119,$A8,Features!$J$2:$J$119,"V2")</f>
        <v>0</v>
      </c>
      <c r="E8" s="39" t="n">
        <f aca="false">COUNTIFS(Features!$B$2:$B$119,$A8,Features!$J$2:$J$119,"V3")</f>
        <v>0</v>
      </c>
      <c r="F8" s="39" t="n">
        <f aca="false">COUNTIFS(Features!$B$2:$B$119,$A8,Features!$R$2:$R$119,"Nouveau")</f>
        <v>2</v>
      </c>
    </row>
    <row r="9" customFormat="false" ht="15" hidden="false" customHeight="false" outlineLevel="0" collapsed="false">
      <c r="A9" s="41" t="s">
        <v>353</v>
      </c>
      <c r="B9" s="39" t="n">
        <f aca="false">COUNTIF(Features!$B$2:$B$119,A9)</f>
        <v>8</v>
      </c>
      <c r="C9" s="39" t="n">
        <f aca="false">COUNTIFS(Features!$B$2:$B$119,$A9,Features!$J$2:$J$119,"MVP")</f>
        <v>5</v>
      </c>
      <c r="D9" s="39" t="n">
        <f aca="false">COUNTIFS(Features!$B$2:$B$119,$A9,Features!$J$2:$J$119,"V2")</f>
        <v>3</v>
      </c>
      <c r="E9" s="39" t="n">
        <f aca="false">COUNTIFS(Features!$B$2:$B$119,$A9,Features!$J$2:$J$119,"V3")</f>
        <v>0</v>
      </c>
      <c r="F9" s="39" t="n">
        <f aca="false">COUNTIFS(Features!$B$2:$B$119,$A9,Features!$R$2:$R$119,"Nouveau")</f>
        <v>5</v>
      </c>
    </row>
    <row r="10" customFormat="false" ht="15" hidden="false" customHeight="false" outlineLevel="0" collapsed="false">
      <c r="A10" s="41" t="s">
        <v>389</v>
      </c>
      <c r="B10" s="39" t="n">
        <f aca="false">COUNTIF(Features!$B$2:$B$119,A10)</f>
        <v>5</v>
      </c>
      <c r="C10" s="39" t="n">
        <f aca="false">COUNTIFS(Features!$B$2:$B$119,$A10,Features!$J$2:$J$119,"MVP")</f>
        <v>4</v>
      </c>
      <c r="D10" s="39" t="n">
        <f aca="false">COUNTIFS(Features!$B$2:$B$119,$A10,Features!$J$2:$J$119,"V2")</f>
        <v>0</v>
      </c>
      <c r="E10" s="39" t="n">
        <f aca="false">COUNTIFS(Features!$B$2:$B$119,$A10,Features!$J$2:$J$119,"V3")</f>
        <v>1</v>
      </c>
      <c r="F10" s="39" t="n">
        <f aca="false">COUNTIFS(Features!$B$2:$B$119,$A10,Features!$R$2:$R$119,"Nouveau")</f>
        <v>2</v>
      </c>
    </row>
    <row r="11" customFormat="false" ht="15" hidden="false" customHeight="false" outlineLevel="0" collapsed="false">
      <c r="A11" s="41" t="s">
        <v>416</v>
      </c>
      <c r="B11" s="39" t="n">
        <f aca="false">COUNTIF(Features!$B$2:$B$119,A11)</f>
        <v>7</v>
      </c>
      <c r="C11" s="39" t="n">
        <f aca="false">COUNTIFS(Features!$B$2:$B$119,$A11,Features!$J$2:$J$119,"MVP")</f>
        <v>3</v>
      </c>
      <c r="D11" s="39" t="n">
        <f aca="false">COUNTIFS(Features!$B$2:$B$119,$A11,Features!$J$2:$J$119,"V2")</f>
        <v>2</v>
      </c>
      <c r="E11" s="39" t="n">
        <f aca="false">COUNTIFS(Features!$B$2:$B$119,$A11,Features!$J$2:$J$119,"V3")</f>
        <v>2</v>
      </c>
      <c r="F11" s="39" t="n">
        <f aca="false">COUNTIFS(Features!$B$2:$B$119,$A11,Features!$R$2:$R$119,"Nouveau")</f>
        <v>6</v>
      </c>
    </row>
    <row r="12" customFormat="false" ht="15" hidden="false" customHeight="false" outlineLevel="0" collapsed="false">
      <c r="A12" s="41" t="s">
        <v>452</v>
      </c>
      <c r="B12" s="39" t="n">
        <f aca="false">COUNTIF(Features!$B$2:$B$119,A12)</f>
        <v>12</v>
      </c>
      <c r="C12" s="39" t="n">
        <f aca="false">COUNTIFS(Features!$B$2:$B$119,$A12,Features!$J$2:$J$119,"MVP")</f>
        <v>8</v>
      </c>
      <c r="D12" s="39" t="n">
        <f aca="false">COUNTIFS(Features!$B$2:$B$119,$A12,Features!$J$2:$J$119,"V2")</f>
        <v>3</v>
      </c>
      <c r="E12" s="39" t="n">
        <f aca="false">COUNTIFS(Features!$B$2:$B$119,$A12,Features!$J$2:$J$119,"V3")</f>
        <v>1</v>
      </c>
      <c r="F12" s="39" t="n">
        <f aca="false">COUNTIFS(Features!$B$2:$B$119,$A12,Features!$R$2:$R$119,"Nouveau")</f>
        <v>11</v>
      </c>
    </row>
    <row r="13" customFormat="false" ht="15" hidden="false" customHeight="false" outlineLevel="0" collapsed="false">
      <c r="A13" s="41" t="s">
        <v>521</v>
      </c>
      <c r="B13" s="39" t="n">
        <f aca="false">COUNTIF(Features!$B$2:$B$119,A13)</f>
        <v>6</v>
      </c>
      <c r="C13" s="39" t="n">
        <f aca="false">COUNTIFS(Features!$B$2:$B$119,$A13,Features!$J$2:$J$119,"MVP")</f>
        <v>1</v>
      </c>
      <c r="D13" s="39" t="n">
        <f aca="false">COUNTIFS(Features!$B$2:$B$119,$A13,Features!$J$2:$J$119,"V2")</f>
        <v>3</v>
      </c>
      <c r="E13" s="39" t="n">
        <f aca="false">COUNTIFS(Features!$B$2:$B$119,$A13,Features!$J$2:$J$119,"V3")</f>
        <v>2</v>
      </c>
      <c r="F13" s="39" t="n">
        <f aca="false">COUNTIFS(Features!$B$2:$B$119,$A13,Features!$R$2:$R$119,"Nouveau")</f>
        <v>5</v>
      </c>
    </row>
    <row r="14" customFormat="false" ht="15" hidden="false" customHeight="false" outlineLevel="0" collapsed="false">
      <c r="A14" s="41" t="s">
        <v>551</v>
      </c>
      <c r="B14" s="39" t="n">
        <f aca="false">COUNTIF(Features!$B$2:$B$119,A14)</f>
        <v>6</v>
      </c>
      <c r="C14" s="39" t="n">
        <f aca="false">COUNTIFS(Features!$B$2:$B$119,$A14,Features!$J$2:$J$119,"MVP")</f>
        <v>2</v>
      </c>
      <c r="D14" s="39" t="n">
        <f aca="false">COUNTIFS(Features!$B$2:$B$119,$A14,Features!$J$2:$J$119,"V2")</f>
        <v>4</v>
      </c>
      <c r="E14" s="39" t="n">
        <f aca="false">COUNTIFS(Features!$B$2:$B$119,$A14,Features!$J$2:$J$119,"V3")</f>
        <v>0</v>
      </c>
      <c r="F14" s="39" t="n">
        <f aca="false">COUNTIFS(Features!$B$2:$B$119,$A14,Features!$R$2:$R$119,"Nouveau")</f>
        <v>6</v>
      </c>
    </row>
    <row r="15" customFormat="false" ht="15" hidden="false" customHeight="false" outlineLevel="0" collapsed="false">
      <c r="A15" s="41" t="s">
        <v>580</v>
      </c>
      <c r="B15" s="39" t="n">
        <f aca="false">COUNTIF(Features!$B$2:$B$119,A15)</f>
        <v>10</v>
      </c>
      <c r="C15" s="39" t="n">
        <f aca="false">COUNTIFS(Features!$B$2:$B$119,$A15,Features!$J$2:$J$119,"MVP")</f>
        <v>3</v>
      </c>
      <c r="D15" s="39" t="n">
        <f aca="false">COUNTIFS(Features!$B$2:$B$119,$A15,Features!$J$2:$J$119,"V2")</f>
        <v>4</v>
      </c>
      <c r="E15" s="39" t="n">
        <f aca="false">COUNTIFS(Features!$B$2:$B$119,$A15,Features!$J$2:$J$119,"V3")</f>
        <v>3</v>
      </c>
      <c r="F15" s="39" t="n">
        <f aca="false">COUNTIFS(Features!$B$2:$B$119,$A15,Features!$R$2:$R$119,"Nouveau")</f>
        <v>8</v>
      </c>
    </row>
    <row r="16" customFormat="false" ht="15" hidden="false" customHeight="false" outlineLevel="0" collapsed="false">
      <c r="A16" s="41" t="s">
        <v>626</v>
      </c>
      <c r="B16" s="39" t="n">
        <f aca="false">COUNTIF(Features!$B$2:$B$119,A16)</f>
        <v>6</v>
      </c>
      <c r="C16" s="39" t="n">
        <f aca="false">COUNTIFS(Features!$B$2:$B$119,$A16,Features!$J$2:$J$119,"MVP")</f>
        <v>5</v>
      </c>
      <c r="D16" s="39" t="n">
        <f aca="false">COUNTIFS(Features!$B$2:$B$119,$A16,Features!$J$2:$J$119,"V2")</f>
        <v>1</v>
      </c>
      <c r="E16" s="39" t="n">
        <f aca="false">COUNTIFS(Features!$B$2:$B$119,$A16,Features!$J$2:$J$119,"V3")</f>
        <v>0</v>
      </c>
      <c r="F16" s="39" t="n">
        <f aca="false">COUNTIFS(Features!$B$2:$B$119,$A16,Features!$R$2:$R$119,"Nouveau")</f>
        <v>5</v>
      </c>
    </row>
    <row r="17" customFormat="false" ht="15" hidden="false" customHeight="false" outlineLevel="0" collapsed="false">
      <c r="A17" s="41" t="s">
        <v>654</v>
      </c>
      <c r="B17" s="39" t="n">
        <f aca="false">COUNTIF(Features!$B$2:$B$119,A17)</f>
        <v>5</v>
      </c>
      <c r="C17" s="39" t="n">
        <f aca="false">COUNTIFS(Features!$B$2:$B$119,$A17,Features!$J$2:$J$119,"MVP")</f>
        <v>3</v>
      </c>
      <c r="D17" s="39" t="n">
        <f aca="false">COUNTIFS(Features!$B$2:$B$119,$A17,Features!$J$2:$J$119,"V2")</f>
        <v>2</v>
      </c>
      <c r="E17" s="39" t="n">
        <f aca="false">COUNTIFS(Features!$B$2:$B$119,$A17,Features!$J$2:$J$119,"V3")</f>
        <v>0</v>
      </c>
      <c r="F17" s="39" t="n">
        <f aca="false">COUNTIFS(Features!$B$2:$B$119,$A17,Features!$R$2:$R$119,"Nouveau")</f>
        <v>4</v>
      </c>
    </row>
    <row r="18" customFormat="false" ht="15" hidden="false" customHeight="false" outlineLevel="0" collapsed="false">
      <c r="A18" s="41" t="s">
        <v>677</v>
      </c>
      <c r="B18" s="39" t="n">
        <f aca="false">COUNTIF(Features!$B$2:$B$119,A18)</f>
        <v>9</v>
      </c>
      <c r="C18" s="39" t="n">
        <f aca="false">COUNTIFS(Features!$B$2:$B$119,$A18,Features!$J$2:$J$119,"MVP")</f>
        <v>0</v>
      </c>
      <c r="D18" s="39" t="n">
        <f aca="false">COUNTIFS(Features!$B$2:$B$119,$A18,Features!$J$2:$J$119,"V2")</f>
        <v>9</v>
      </c>
      <c r="E18" s="39" t="n">
        <f aca="false">COUNTIFS(Features!$B$2:$B$119,$A18,Features!$J$2:$J$119,"V3")</f>
        <v>0</v>
      </c>
      <c r="F18" s="39" t="n">
        <f aca="false">COUNTIFS(Features!$B$2:$B$119,$A18,Features!$R$2:$R$119,"Nouveau")</f>
        <v>9</v>
      </c>
    </row>
    <row r="19" customFormat="false" ht="15" hidden="false" customHeight="false" outlineLevel="0" collapsed="false">
      <c r="A19" s="41" t="s">
        <v>726</v>
      </c>
      <c r="B19" s="39" t="n">
        <f aca="false">COUNTIF(Features!$B$2:$B$119,A19)</f>
        <v>4</v>
      </c>
      <c r="C19" s="39" t="n">
        <f aca="false">COUNTIFS(Features!$B$2:$B$119,$A19,Features!$J$2:$J$119,"MVP")</f>
        <v>4</v>
      </c>
      <c r="D19" s="39" t="n">
        <f aca="false">COUNTIFS(Features!$B$2:$B$119,$A19,Features!$J$2:$J$119,"V2")</f>
        <v>0</v>
      </c>
      <c r="E19" s="39" t="n">
        <f aca="false">COUNTIFS(Features!$B$2:$B$119,$A19,Features!$J$2:$J$119,"V3")</f>
        <v>0</v>
      </c>
      <c r="F19" s="39" t="n">
        <f aca="false">COUNTIFS(Features!$B$2:$B$119,$A19,Features!$R$2:$R$119,"Nouveau")</f>
        <v>3</v>
      </c>
    </row>
    <row r="20" customFormat="false" ht="15" hidden="false" customHeight="false" outlineLevel="0" collapsed="false">
      <c r="A20" s="42" t="s">
        <v>847</v>
      </c>
      <c r="B20" s="43" t="n">
        <f aca="false">SUM(B4:B19)</f>
        <v>118</v>
      </c>
      <c r="C20" s="43" t="n">
        <f aca="false">SUM(C4:C19)</f>
        <v>65</v>
      </c>
      <c r="D20" s="43" t="n">
        <f aca="false">SUM(D4:D19)</f>
        <v>43</v>
      </c>
      <c r="E20" s="43" t="n">
        <f aca="false">SUM(E4:E19)</f>
        <v>10</v>
      </c>
      <c r="F20" s="43" t="n">
        <f aca="false">SUM(F4:F19)</f>
        <v>92</v>
      </c>
    </row>
    <row r="23" customFormat="false" ht="15" hidden="false" customHeight="false" outlineLevel="0" collapsed="false">
      <c r="A23" s="40" t="s">
        <v>32</v>
      </c>
      <c r="B23" s="40" t="s">
        <v>16</v>
      </c>
      <c r="C23" s="40" t="s">
        <v>18</v>
      </c>
      <c r="D23" s="40" t="s">
        <v>20</v>
      </c>
      <c r="E23" s="40" t="s">
        <v>22</v>
      </c>
      <c r="F23" s="40" t="s">
        <v>848</v>
      </c>
    </row>
    <row r="24" customFormat="false" ht="15" hidden="false" customHeight="false" outlineLevel="0" collapsed="false">
      <c r="A24" s="41" t="s">
        <v>121</v>
      </c>
      <c r="B24" s="39" t="n">
        <f aca="false">COUNTIF(Features!$K$2:$K$119,"Oui")</f>
        <v>29</v>
      </c>
      <c r="C24" s="39" t="n">
        <f aca="false">COUNTIF(Features!$K$2:$K$119,"Option")</f>
        <v>4</v>
      </c>
      <c r="D24" s="39" t="n">
        <f aca="false">COUNTIF(Features!$K$2:$K$119,"Sur demande")</f>
        <v>3</v>
      </c>
      <c r="E24" s="39" t="n">
        <f aca="false">COUNTIF(Features!$K$2:$K$119,"Temporaire")</f>
        <v>0</v>
      </c>
      <c r="F24" s="39" t="n">
        <f aca="false">SUM(B24:E24)</f>
        <v>36</v>
      </c>
    </row>
    <row r="25" customFormat="false" ht="15" hidden="false" customHeight="false" outlineLevel="0" collapsed="false">
      <c r="A25" s="41" t="s">
        <v>122</v>
      </c>
      <c r="B25" s="39" t="n">
        <f aca="false">COUNTIF(Features!$L$2:$L$119,"Oui")</f>
        <v>32</v>
      </c>
      <c r="C25" s="39" t="n">
        <f aca="false">COUNTIF(Features!$L$2:$L$119,"Option")</f>
        <v>5</v>
      </c>
      <c r="D25" s="39" t="n">
        <f aca="false">COUNTIF(Features!$L$2:$L$119,"Sur demande")</f>
        <v>3</v>
      </c>
      <c r="E25" s="39" t="n">
        <f aca="false">COUNTIF(Features!$L$2:$L$119,"Temporaire")</f>
        <v>0</v>
      </c>
      <c r="F25" s="39" t="n">
        <f aca="false">SUM(B25:E25)</f>
        <v>40</v>
      </c>
    </row>
    <row r="26" customFormat="false" ht="15" hidden="false" customHeight="false" outlineLevel="0" collapsed="false">
      <c r="A26" s="41" t="s">
        <v>123</v>
      </c>
      <c r="B26" s="39" t="n">
        <f aca="false">COUNTIF(Features!$M$2:$M$119,"Oui")</f>
        <v>42</v>
      </c>
      <c r="C26" s="39" t="n">
        <f aca="false">COUNTIF(Features!$M$2:$M$119,"Option")</f>
        <v>8</v>
      </c>
      <c r="D26" s="39" t="n">
        <f aca="false">COUNTIF(Features!$M$2:$M$119,"Sur demande")</f>
        <v>2</v>
      </c>
      <c r="E26" s="39" t="n">
        <f aca="false">COUNTIF(Features!$M$2:$M$119,"Temporaire")</f>
        <v>0</v>
      </c>
      <c r="F26" s="39" t="n">
        <f aca="false">SUM(B26:E26)</f>
        <v>52</v>
      </c>
    </row>
    <row r="27" customFormat="false" ht="15" hidden="false" customHeight="false" outlineLevel="0" collapsed="false">
      <c r="A27" s="41" t="s">
        <v>124</v>
      </c>
      <c r="B27" s="39" t="n">
        <f aca="false">COUNTIF(Features!$N$2:$N$119,"Oui")</f>
        <v>54</v>
      </c>
      <c r="C27" s="39" t="n">
        <f aca="false">COUNTIF(Features!$N$2:$N$119,"Option")</f>
        <v>6</v>
      </c>
      <c r="D27" s="39" t="n">
        <f aca="false">COUNTIF(Features!$N$2:$N$119,"Sur demande")</f>
        <v>0</v>
      </c>
      <c r="E27" s="39" t="n">
        <f aca="false">COUNTIF(Features!$N$2:$N$119,"Temporaire")</f>
        <v>1</v>
      </c>
      <c r="F27" s="39" t="n">
        <f aca="false">SUM(B27:E27)</f>
        <v>61</v>
      </c>
    </row>
    <row r="28" customFormat="false" ht="15" hidden="false" customHeight="false" outlineLevel="0" collapsed="false">
      <c r="A28" s="41" t="s">
        <v>125</v>
      </c>
      <c r="B28" s="39" t="n">
        <f aca="false">COUNTIF(Features!$O$2:$O$119,"Oui")</f>
        <v>64</v>
      </c>
      <c r="C28" s="39" t="n">
        <f aca="false">COUNTIF(Features!$O$2:$O$119,"Option")</f>
        <v>10</v>
      </c>
      <c r="D28" s="39" t="n">
        <f aca="false">COUNTIF(Features!$O$2:$O$119,"Sur demande")</f>
        <v>0</v>
      </c>
      <c r="E28" s="39" t="n">
        <f aca="false">COUNTIF(Features!$O$2:$O$119,"Temporaire")</f>
        <v>2</v>
      </c>
      <c r="F28" s="39" t="n">
        <f aca="false">SUM(B28:E28)</f>
        <v>76</v>
      </c>
    </row>
    <row r="29" customFormat="false" ht="15" hidden="false" customHeight="false" outlineLevel="0" collapsed="false">
      <c r="A29" s="41" t="s">
        <v>126</v>
      </c>
      <c r="B29" s="39" t="n">
        <f aca="false">COUNTIF(Features!$P$2:$P$119,"Oui")</f>
        <v>79</v>
      </c>
      <c r="C29" s="39" t="n">
        <f aca="false">COUNTIF(Features!$P$2:$P$119,"Option")</f>
        <v>15</v>
      </c>
      <c r="D29" s="39" t="n">
        <f aca="false">COUNTIF(Features!$P$2:$P$119,"Sur demande")</f>
        <v>0</v>
      </c>
      <c r="E29" s="39" t="n">
        <f aca="false">COUNTIF(Features!$P$2:$P$119,"Temporaire")</f>
        <v>0</v>
      </c>
      <c r="F29" s="39" t="n">
        <f aca="false">SUM(B29:E29)</f>
        <v>94</v>
      </c>
    </row>
    <row r="30" customFormat="false" ht="15" hidden="false" customHeight="false" outlineLevel="0" collapsed="false">
      <c r="A30" s="41" t="s">
        <v>127</v>
      </c>
      <c r="B30" s="39" t="n">
        <f aca="false">COUNTIF(Features!$Q$2:$Q$119,"Oui")</f>
        <v>93</v>
      </c>
      <c r="C30" s="39" t="n">
        <f aca="false">COUNTIF(Features!$Q$2:$Q$119,"Option")</f>
        <v>10</v>
      </c>
      <c r="D30" s="39" t="n">
        <f aca="false">COUNTIF(Features!$Q$2:$Q$119,"Sur demande")</f>
        <v>0</v>
      </c>
      <c r="E30" s="39" t="n">
        <f aca="false">COUNTIF(Features!$Q$2:$Q$119,"Temporaire")</f>
        <v>0</v>
      </c>
      <c r="F30" s="39" t="n">
        <f aca="false">SUM(B30:E30)</f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8" t="s">
        <v>113</v>
      </c>
      <c r="B1" s="8" t="s">
        <v>849</v>
      </c>
      <c r="C1" s="8" t="s">
        <v>850</v>
      </c>
      <c r="D1" s="8" t="s">
        <v>851</v>
      </c>
      <c r="E1" s="8" t="s">
        <v>852</v>
      </c>
      <c r="F1" s="8" t="s">
        <v>853</v>
      </c>
      <c r="G1" s="8" t="s">
        <v>854</v>
      </c>
      <c r="H1" s="8" t="s">
        <v>855</v>
      </c>
      <c r="I1" s="8" t="s">
        <v>856</v>
      </c>
    </row>
    <row r="2" customFormat="false" ht="15" hidden="false" customHeight="false" outlineLevel="0" collapsed="false">
      <c r="A2" s="37" t="s">
        <v>857</v>
      </c>
      <c r="B2" s="37" t="s">
        <v>858</v>
      </c>
      <c r="C2" s="37" t="s">
        <v>859</v>
      </c>
      <c r="D2" s="37" t="s">
        <v>860</v>
      </c>
      <c r="E2" s="37" t="s">
        <v>861</v>
      </c>
      <c r="F2" s="37"/>
      <c r="G2" s="37"/>
      <c r="H2" s="37"/>
      <c r="I2" s="37"/>
    </row>
    <row r="3" customFormat="false" ht="15" hidden="false" customHeight="false" outlineLevel="0" collapsed="false">
      <c r="A3" s="37" t="s">
        <v>862</v>
      </c>
      <c r="B3" s="37" t="s">
        <v>863</v>
      </c>
      <c r="C3" s="37" t="s">
        <v>864</v>
      </c>
      <c r="D3" s="37" t="s">
        <v>865</v>
      </c>
      <c r="E3" s="37" t="s">
        <v>866</v>
      </c>
      <c r="F3" s="37"/>
      <c r="G3" s="37"/>
      <c r="H3" s="37"/>
      <c r="I3" s="37"/>
    </row>
    <row r="4" customFormat="false" ht="15" hidden="false" customHeight="false" outlineLevel="0" collapsed="false">
      <c r="A4" s="37" t="s">
        <v>867</v>
      </c>
      <c r="B4" s="37" t="s">
        <v>868</v>
      </c>
      <c r="C4" s="37" t="s">
        <v>869</v>
      </c>
      <c r="D4" s="37" t="s">
        <v>870</v>
      </c>
      <c r="E4" s="37" t="s">
        <v>871</v>
      </c>
      <c r="F4" s="37"/>
      <c r="G4" s="37"/>
      <c r="H4" s="37"/>
      <c r="I4" s="37"/>
    </row>
    <row r="5" customFormat="false" ht="23.85" hidden="false" customHeight="false" outlineLevel="0" collapsed="false">
      <c r="A5" s="37" t="s">
        <v>872</v>
      </c>
      <c r="B5" s="37" t="s">
        <v>873</v>
      </c>
      <c r="C5" s="37" t="s">
        <v>874</v>
      </c>
      <c r="D5" s="37" t="s">
        <v>875</v>
      </c>
      <c r="E5" s="37" t="s">
        <v>876</v>
      </c>
      <c r="F5" s="37"/>
      <c r="G5" s="37"/>
      <c r="H5" s="37"/>
      <c r="I5" s="37"/>
    </row>
    <row r="6" customFormat="false" ht="15" hidden="false" customHeight="false" outlineLevel="0" collapsed="false">
      <c r="A6" s="37" t="s">
        <v>877</v>
      </c>
      <c r="B6" s="37" t="s">
        <v>878</v>
      </c>
      <c r="C6" s="37" t="s">
        <v>879</v>
      </c>
      <c r="D6" s="37" t="s">
        <v>880</v>
      </c>
      <c r="E6" s="37" t="s">
        <v>866</v>
      </c>
      <c r="F6" s="37"/>
      <c r="G6" s="37"/>
      <c r="H6" s="37"/>
      <c r="I6" s="37"/>
    </row>
    <row r="7" customFormat="false" ht="15" hidden="false" customHeight="false" outlineLevel="0" collapsed="false">
      <c r="A7" s="37" t="s">
        <v>881</v>
      </c>
      <c r="B7" s="37" t="s">
        <v>882</v>
      </c>
      <c r="C7" s="37" t="s">
        <v>883</v>
      </c>
      <c r="D7" s="37" t="s">
        <v>884</v>
      </c>
      <c r="E7" s="37" t="s">
        <v>885</v>
      </c>
      <c r="F7" s="37"/>
      <c r="G7" s="37"/>
      <c r="H7" s="37"/>
      <c r="I7" s="37"/>
    </row>
    <row r="8" customFormat="false" ht="15" hidden="false" customHeight="false" outlineLevel="0" collapsed="false">
      <c r="A8" s="37" t="s">
        <v>886</v>
      </c>
      <c r="B8" s="37" t="s">
        <v>887</v>
      </c>
      <c r="C8" s="37" t="s">
        <v>888</v>
      </c>
      <c r="D8" s="37" t="s">
        <v>889</v>
      </c>
      <c r="E8" s="37" t="s">
        <v>890</v>
      </c>
      <c r="F8" s="37"/>
      <c r="G8" s="37"/>
      <c r="H8" s="37"/>
      <c r="I8" s="37"/>
    </row>
    <row r="9" customFormat="false" ht="15" hidden="false" customHeight="false" outlineLevel="0" collapsed="false">
      <c r="A9" s="37" t="s">
        <v>891</v>
      </c>
      <c r="B9" s="37" t="s">
        <v>892</v>
      </c>
      <c r="C9" s="37" t="s">
        <v>893</v>
      </c>
      <c r="D9" s="37" t="s">
        <v>894</v>
      </c>
      <c r="E9" s="37" t="s">
        <v>895</v>
      </c>
      <c r="F9" s="37"/>
      <c r="G9" s="37"/>
      <c r="H9" s="37"/>
      <c r="I9" s="37"/>
    </row>
    <row r="10" customFormat="false" ht="15" hidden="false" customHeight="false" outlineLevel="0" collapsed="false">
      <c r="A10" s="37" t="s">
        <v>896</v>
      </c>
      <c r="B10" s="37" t="s">
        <v>897</v>
      </c>
      <c r="C10" s="37" t="s">
        <v>898</v>
      </c>
      <c r="D10" s="37" t="s">
        <v>899</v>
      </c>
      <c r="E10" s="37" t="s">
        <v>890</v>
      </c>
      <c r="F10" s="37"/>
      <c r="G10" s="37"/>
      <c r="H10" s="37"/>
      <c r="I10" s="37"/>
    </row>
    <row r="11" customFormat="false" ht="23.85" hidden="false" customHeight="false" outlineLevel="0" collapsed="false">
      <c r="A11" s="37" t="s">
        <v>900</v>
      </c>
      <c r="B11" s="37" t="s">
        <v>901</v>
      </c>
      <c r="C11" s="37" t="s">
        <v>902</v>
      </c>
      <c r="D11" s="37" t="s">
        <v>903</v>
      </c>
      <c r="E11" s="37" t="s">
        <v>890</v>
      </c>
      <c r="F11" s="37"/>
      <c r="G11" s="37"/>
      <c r="H11" s="37"/>
      <c r="I11" s="37"/>
    </row>
    <row r="12" customFormat="false" ht="23.85" hidden="false" customHeight="false" outlineLevel="0" collapsed="false">
      <c r="A12" s="37" t="s">
        <v>904</v>
      </c>
      <c r="B12" s="37" t="s">
        <v>905</v>
      </c>
      <c r="C12" s="37" t="s">
        <v>906</v>
      </c>
      <c r="D12" s="37" t="s">
        <v>907</v>
      </c>
      <c r="E12" s="37" t="s">
        <v>908</v>
      </c>
      <c r="F12" s="37"/>
      <c r="G12" s="37"/>
      <c r="H12" s="37"/>
      <c r="I12" s="37"/>
    </row>
    <row r="13" customFormat="false" ht="15" hidden="false" customHeight="false" outlineLevel="0" collapsed="false">
      <c r="A13" s="37" t="s">
        <v>909</v>
      </c>
      <c r="B13" s="37" t="s">
        <v>910</v>
      </c>
      <c r="C13" s="37" t="s">
        <v>911</v>
      </c>
      <c r="D13" s="37" t="s">
        <v>912</v>
      </c>
      <c r="E13" s="37" t="s">
        <v>913</v>
      </c>
      <c r="F13" s="37"/>
      <c r="G13" s="37"/>
      <c r="H13" s="37"/>
      <c r="I13" s="37"/>
    </row>
    <row r="14" customFormat="false" ht="15" hidden="false" customHeight="false" outlineLevel="0" collapsed="false">
      <c r="A14" s="37" t="s">
        <v>914</v>
      </c>
      <c r="B14" s="37" t="s">
        <v>915</v>
      </c>
      <c r="C14" s="37" t="s">
        <v>916</v>
      </c>
      <c r="D14" s="37" t="s">
        <v>917</v>
      </c>
      <c r="E14" s="37" t="s">
        <v>918</v>
      </c>
      <c r="F14" s="37"/>
      <c r="G14" s="37"/>
      <c r="H14" s="37"/>
      <c r="I14" s="37"/>
    </row>
    <row r="15" customFormat="false" ht="15" hidden="false" customHeight="false" outlineLevel="0" collapsed="false">
      <c r="A15" s="37" t="s">
        <v>919</v>
      </c>
      <c r="B15" s="37" t="s">
        <v>920</v>
      </c>
      <c r="C15" s="37" t="s">
        <v>921</v>
      </c>
      <c r="D15" s="37" t="s">
        <v>922</v>
      </c>
      <c r="E15" s="37" t="s">
        <v>923</v>
      </c>
      <c r="F15" s="37"/>
      <c r="G15" s="37"/>
      <c r="H15" s="37"/>
      <c r="I15" s="37"/>
    </row>
    <row r="16" customFormat="false" ht="15" hidden="false" customHeight="false" outlineLevel="0" collapsed="false">
      <c r="A16" s="37" t="s">
        <v>924</v>
      </c>
      <c r="B16" s="37" t="s">
        <v>925</v>
      </c>
      <c r="C16" s="37" t="s">
        <v>926</v>
      </c>
      <c r="D16" s="37" t="s">
        <v>927</v>
      </c>
      <c r="E16" s="37" t="s">
        <v>928</v>
      </c>
      <c r="F16" s="37"/>
      <c r="G16" s="37"/>
      <c r="H16" s="37"/>
      <c r="I16" s="37"/>
    </row>
    <row r="17" customFormat="false" ht="15" hidden="false" customHeight="false" outlineLevel="0" collapsed="false">
      <c r="A17" s="37" t="s">
        <v>929</v>
      </c>
      <c r="B17" s="37" t="s">
        <v>930</v>
      </c>
      <c r="C17" s="37" t="s">
        <v>931</v>
      </c>
      <c r="D17" s="37" t="s">
        <v>932</v>
      </c>
      <c r="E17" s="37" t="s">
        <v>933</v>
      </c>
      <c r="F17" s="37"/>
      <c r="G17" s="37"/>
      <c r="H17" s="37"/>
      <c r="I17" s="37"/>
    </row>
    <row r="18" customFormat="false" ht="15" hidden="false" customHeight="false" outlineLevel="0" collapsed="false">
      <c r="A18" s="37" t="s">
        <v>934</v>
      </c>
      <c r="B18" s="37" t="s">
        <v>935</v>
      </c>
      <c r="C18" s="37" t="s">
        <v>936</v>
      </c>
      <c r="D18" s="37" t="s">
        <v>937</v>
      </c>
      <c r="E18" s="37" t="s">
        <v>938</v>
      </c>
      <c r="F18" s="37"/>
      <c r="G18" s="37"/>
      <c r="H18" s="37"/>
      <c r="I18" s="37"/>
    </row>
    <row r="19" customFormat="false" ht="23.85" hidden="false" customHeight="false" outlineLevel="0" collapsed="false">
      <c r="A19" s="37" t="s">
        <v>939</v>
      </c>
      <c r="B19" s="37" t="s">
        <v>806</v>
      </c>
      <c r="C19" s="37" t="s">
        <v>940</v>
      </c>
      <c r="D19" s="37" t="s">
        <v>941</v>
      </c>
      <c r="E19" s="37" t="s">
        <v>942</v>
      </c>
      <c r="F19" s="37"/>
      <c r="G19" s="37"/>
      <c r="H19" s="37"/>
      <c r="I19" s="37"/>
    </row>
    <row r="21" customFormat="false" ht="15" hidden="false" customHeight="false" outlineLevel="0" collapsed="false">
      <c r="A21" s="2" t="s">
        <v>943</v>
      </c>
    </row>
    <row r="22" customFormat="false" ht="15" hidden="false" customHeight="false" outlineLevel="0" collapsed="false">
      <c r="A22" s="5" t="s">
        <v>944</v>
      </c>
      <c r="B22" s="5" t="str">
        <f aca="false">COUNTIF(H2:H19,"OK")&amp;" / "&amp;COUNTA(B2:B19)</f>
        <v>0 / 18</v>
      </c>
    </row>
  </sheetData>
  <conditionalFormatting sqref="F2:H19">
    <cfRule type="cellIs" priority="2" operator="equal" aboveAverage="0" equalAverage="0" bottom="0" percent="0" rank="0" text="" dxfId="14">
      <formula>"OK"</formula>
    </cfRule>
    <cfRule type="cellIs" priority="3" operator="equal" aboveAverage="0" equalAverage="0" bottom="0" percent="0" rank="0" text="" dxfId="19">
      <formula>"KO"</formula>
    </cfRule>
    <cfRule type="cellIs" priority="4" operator="equal" aboveAverage="0" equalAverage="0" bottom="0" percent="0" rank="0" text="" dxfId="16">
      <formula>"Partiel"</formula>
    </cfRule>
  </conditionalFormatting>
  <dataValidations count="1">
    <dataValidation allowBlank="true" errorStyle="stop" operator="between" showDropDown="false" showErrorMessage="false" showInputMessage="false" sqref="F2:H19" type="list">
      <formula1>"OK,KO,Partiel,À tester"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2026-10-31T10:19:05Z</dcterms:created>
  <dc:creator>openpyxl</dc:creator>
  <dc:description/>
  <dc:language>en-US</dc:language>
  <cp:lastModifiedBy/>
  <dcterms:modified xsi:type="dcterms:W3CDTF">2026-10-31T10:19:05Z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